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738" firstSheet="2" activeTab="2" autoFilterDateGrouping="1"/>
  </bookViews>
  <sheets>
    <sheet name="RDD112.02-26" sheetId="1" state="visible" r:id="rId1"/>
    <sheet name="RDD113.03-26" sheetId="2" state="visible" r:id="rId2"/>
    <sheet name="RDD" sheetId="3" state="visible" r:id="rId3"/>
  </sheets>
  <definedNames>
    <definedName name="Adiantamentos">#REF!</definedName>
    <definedName name="ColunaTítulo1">#REF!</definedName>
    <definedName name="Subtotal">#REF!</definedName>
    <definedName name="Adiantamentos" localSheetId="0">'RDD112.02-26'!$L$35</definedName>
    <definedName name="ColunaTítulo1" localSheetId="0">DadosDespesas35[[#Headers],[Data]]</definedName>
    <definedName name="_xlnm.Print_Titles" localSheetId="0">'RDD112.02-26'!$8:$8</definedName>
    <definedName name="Subtotal" localSheetId="0">'RDD112.02-26'!$L$34</definedName>
    <definedName name="Adiantamentos" localSheetId="1">'RDD113.03-26'!$L$36</definedName>
    <definedName name="ColunaTítulo1" localSheetId="1">DadosDespesas35[[#Headers],[Data]]</definedName>
    <definedName name="_xlnm.Print_Titles" localSheetId="1">'RDD113.03-26'!$8:$8</definedName>
    <definedName name="Subtotal" localSheetId="1">'RDD113.03-26'!$L$35</definedName>
    <definedName name="Adiantamentos" localSheetId="2">RDD!$L$46</definedName>
    <definedName name="ColunaTítulo1" localSheetId="2">#REF!</definedName>
    <definedName name="_xlnm.Print_Titles" localSheetId="2">RDD!$8:$8</definedName>
    <definedName name="Subtotal" localSheetId="2">RDD!$L$45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R$&quot;\ #,##0.00;\-&quot;R$&quot;\ #,##0.00"/>
  </numFmts>
  <fonts count="17">
    <font>
      <name val="Franklin Gothic Book"/>
      <family val="2"/>
      <color theme="1" tint="0.249946592608417"/>
      <sz val="11"/>
      <scheme val="minor"/>
    </font>
    <font>
      <name val="Tahoma"/>
      <family val="2"/>
      <sz val="10"/>
    </font>
    <font>
      <name val="Constantia"/>
      <family val="2"/>
      <color theme="4" tint="-0.499984740745262"/>
      <sz val="24"/>
      <scheme val="major"/>
    </font>
    <font>
      <name val="Franklin Gothic Book"/>
      <family val="2"/>
      <b val="1"/>
      <color theme="1"/>
      <sz val="11"/>
      <scheme val="minor"/>
    </font>
    <font>
      <name val="Constantia"/>
      <family val="2"/>
      <b val="1"/>
      <color theme="4" tint="-0.499984740745262"/>
      <sz val="11"/>
      <scheme val="major"/>
    </font>
    <font>
      <name val="Constantia"/>
      <family val="2"/>
      <color theme="1" tint="0.249946592608417"/>
      <sz val="11"/>
      <scheme val="major"/>
    </font>
    <font>
      <name val="Franklin Gothic Book"/>
      <family val="2"/>
      <color theme="1" tint="0.249946592608417"/>
      <sz val="11"/>
      <scheme val="minor"/>
    </font>
    <font>
      <name val="Constantia"/>
      <family val="2"/>
      <i val="1"/>
      <color theme="1" tint="0.0499893185216834"/>
      <sz val="9"/>
      <u val="single"/>
      <scheme val="major"/>
    </font>
    <font>
      <name val="Constantia"/>
      <family val="2"/>
      <b val="1"/>
      <color theme="4" tint="-0.499984740745262"/>
      <sz val="12"/>
      <scheme val="major"/>
    </font>
    <font>
      <name val="Franklin Gothic Book"/>
      <family val="2"/>
      <b val="1"/>
      <color theme="3"/>
      <sz val="11"/>
      <scheme val="minor"/>
    </font>
    <font>
      <name val="Franklin Gothic Book"/>
      <family val="2"/>
      <color theme="3"/>
      <sz val="11"/>
      <scheme val="minor"/>
    </font>
    <font>
      <name val="Constantia"/>
      <family val="2"/>
      <b val="1"/>
      <color theme="3"/>
      <sz val="11"/>
      <scheme val="major"/>
    </font>
    <font>
      <name val="Constantia"/>
      <family val="2"/>
      <sz val="11"/>
      <scheme val="major"/>
    </font>
    <font>
      <name val="Constantia"/>
      <charset val="238"/>
      <family val="2"/>
      <color theme="3"/>
      <sz val="9"/>
      <scheme val="major"/>
    </font>
    <font>
      <name val="Franklin Gothic Book"/>
      <family val="2"/>
      <b val="1"/>
      <color theme="0"/>
      <sz val="11"/>
      <scheme val="minor"/>
    </font>
    <font>
      <name val="Constantia"/>
      <family val="1"/>
      <b val="1"/>
      <color theme="1" tint="0.249946592608417"/>
      <sz val="11"/>
      <scheme val="major"/>
    </font>
    <font>
      <name val="Franklin Gothic Book"/>
      <b val="1"/>
      <color rgb="FF0000FF"/>
      <sz val="11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1" tint="0.3499862666707358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 style="double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medium">
        <color theme="3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</borders>
  <cellStyleXfs count="14">
    <xf numFmtId="0" fontId="6" fillId="0" borderId="0"/>
    <xf numFmtId="0" fontId="8" fillId="0" borderId="0"/>
    <xf numFmtId="0" fontId="4" fillId="0" borderId="0" applyAlignment="1">
      <alignment horizontal="right" vertical="center" wrapText="1"/>
    </xf>
    <xf numFmtId="0" fontId="5" fillId="0" borderId="0" applyAlignment="1">
      <alignment horizontal="right" vertical="center" indent="1"/>
    </xf>
    <xf numFmtId="0" fontId="7" fillId="0" borderId="0" applyAlignment="1">
      <alignment vertical="top"/>
    </xf>
    <xf numFmtId="7" fontId="6" fillId="0" borderId="0" applyAlignment="1">
      <alignment vertical="center"/>
    </xf>
    <xf numFmtId="7" fontId="3" fillId="2" borderId="3" applyAlignment="1">
      <alignment horizontal="center"/>
    </xf>
    <xf numFmtId="0" fontId="6" fillId="0" borderId="1" applyAlignment="1">
      <alignment horizontal="left" vertical="center" wrapText="1"/>
    </xf>
    <xf numFmtId="0" fontId="6" fillId="0" borderId="0" applyAlignment="1">
      <alignment vertical="center"/>
    </xf>
    <xf numFmtId="14" fontId="6" fillId="0" borderId="0" applyAlignment="1">
      <alignment horizontal="left" vertical="center"/>
    </xf>
    <xf numFmtId="0" fontId="6" fillId="0" borderId="0" applyAlignment="1">
      <alignment vertical="center" wrapText="1"/>
    </xf>
    <xf numFmtId="7" fontId="3" fillId="2" borderId="4" applyAlignment="1">
      <alignment horizontal="center"/>
    </xf>
    <xf numFmtId="7" fontId="3" fillId="0" borderId="2" applyAlignment="1">
      <alignment horizontal="center"/>
    </xf>
    <xf numFmtId="0" fontId="2" fillId="0" borderId="0" applyAlignment="1">
      <alignment vertical="top"/>
    </xf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5" fillId="0" borderId="0" applyAlignment="1" pivotButton="0" quotePrefix="0" xfId="8">
      <alignment horizontal="center" vertical="center"/>
    </xf>
    <xf numFmtId="0" fontId="12" fillId="0" borderId="0" applyAlignment="1" pivotButton="0" quotePrefix="0" xfId="3">
      <alignment horizontal="right"/>
    </xf>
    <xf numFmtId="0" fontId="11" fillId="0" borderId="0" applyAlignment="1" pivotButton="0" quotePrefix="0" xfId="2">
      <alignment horizontal="right" wrapText="1"/>
    </xf>
    <xf numFmtId="14" fontId="6" fillId="0" borderId="0" applyAlignment="1" pivotButton="0" quotePrefix="0" xfId="9">
      <alignment horizontal="left"/>
    </xf>
    <xf numFmtId="0" fontId="0" fillId="0" borderId="0" applyAlignment="1" pivotButton="0" quotePrefix="0" xfId="0">
      <alignment vertical="center"/>
    </xf>
    <xf numFmtId="0" fontId="2" fillId="0" borderId="0" pivotButton="0" quotePrefix="0" xfId="13"/>
    <xf numFmtId="0" fontId="13" fillId="0" borderId="0" applyAlignment="1" pivotButton="0" quotePrefix="0" xfId="4">
      <alignment horizontal="center"/>
    </xf>
    <xf numFmtId="0" fontId="11" fillId="0" borderId="0" pivotButton="0" quotePrefix="0" xfId="1"/>
    <xf numFmtId="0" fontId="5" fillId="0" borderId="0" applyAlignment="1" pivotButton="0" quotePrefix="0" xfId="3">
      <alignment horizontal="right"/>
    </xf>
    <xf numFmtId="0" fontId="11" fillId="0" borderId="0" applyAlignment="1" pivotButton="0" quotePrefix="0" xfId="2">
      <alignment horizontal="right"/>
    </xf>
    <xf numFmtId="0" fontId="0" fillId="0" borderId="0" applyAlignment="1" pivotButton="0" quotePrefix="0" xfId="10">
      <alignment vertical="center" wrapText="1"/>
    </xf>
    <xf numFmtId="14" fontId="0" fillId="0" borderId="0" applyAlignment="1" pivotButton="0" quotePrefix="0" xfId="9">
      <alignment horizontal="left"/>
    </xf>
    <xf numFmtId="14" fontId="0" fillId="0" borderId="0" applyAlignment="1" pivotButton="0" quotePrefix="0" xfId="10">
      <alignment vertical="center" wrapText="1"/>
    </xf>
    <xf numFmtId="14" fontId="0" fillId="0" borderId="0" applyAlignment="1" pivotButton="0" quotePrefix="0" xfId="0">
      <alignment vertical="center"/>
    </xf>
    <xf numFmtId="0" fontId="0" fillId="0" borderId="0" applyAlignment="1" pivotButton="0" quotePrefix="0" xfId="5">
      <alignment horizontal="left" vertical="center"/>
    </xf>
    <xf numFmtId="49" fontId="0" fillId="0" borderId="0" applyAlignment="1" pivotButton="0" quotePrefix="0" xfId="5">
      <alignment horizontal="left" vertical="center"/>
    </xf>
    <xf numFmtId="0" fontId="10" fillId="0" borderId="5" applyAlignment="1" pivotButton="0" quotePrefix="0" xfId="0">
      <alignment vertical="center"/>
    </xf>
    <xf numFmtId="0" fontId="0" fillId="0" borderId="0" applyAlignment="1" pivotButton="0" quotePrefix="1" xfId="10">
      <alignment vertical="center" wrapText="1"/>
    </xf>
    <xf numFmtId="14" fontId="6" fillId="0" borderId="0" applyAlignment="1" pivotButton="0" quotePrefix="0" xfId="9">
      <alignment horizontal="left" vertical="center"/>
    </xf>
    <xf numFmtId="49" fontId="0" fillId="0" borderId="0" applyAlignment="1" pivotButton="0" quotePrefix="0" xfId="5">
      <alignment vertical="center"/>
    </xf>
    <xf numFmtId="14" fontId="0" fillId="0" borderId="0" applyAlignment="1" pivotButton="0" quotePrefix="0" xfId="9">
      <alignment horizontal="left" vertical="center"/>
    </xf>
    <xf numFmtId="0" fontId="6" fillId="0" borderId="1" applyAlignment="1" pivotButton="0" quotePrefix="0" xfId="7">
      <alignment horizontal="left" wrapText="1"/>
    </xf>
    <xf numFmtId="0" fontId="0" fillId="0" borderId="0" applyAlignment="1" pivotButton="0" quotePrefix="0" xfId="0">
      <alignment horizontal="right"/>
    </xf>
    <xf numFmtId="0" fontId="0" fillId="0" borderId="1" pivotButton="0" quotePrefix="0" xfId="0"/>
    <xf numFmtId="164" fontId="6" fillId="0" borderId="0" applyAlignment="1" pivotButton="0" quotePrefix="0" xfId="5">
      <alignment vertical="center"/>
    </xf>
    <xf numFmtId="164" fontId="10" fillId="0" borderId="5" applyAlignment="1" pivotButton="0" quotePrefix="0" xfId="0">
      <alignment vertical="center"/>
    </xf>
    <xf numFmtId="164" fontId="9" fillId="4" borderId="6" applyAlignment="1" pivotButton="0" quotePrefix="0" xfId="11">
      <alignment horizontal="right"/>
    </xf>
    <xf numFmtId="164" fontId="9" fillId="0" borderId="2" applyAlignment="1" pivotButton="0" quotePrefix="0" xfId="12">
      <alignment horizontal="right"/>
    </xf>
    <xf numFmtId="164" fontId="14" fillId="3" borderId="3" applyAlignment="1" pivotButton="0" quotePrefix="0" xfId="6">
      <alignment horizontal="right"/>
    </xf>
    <xf numFmtId="14" fontId="6" fillId="0" borderId="0" applyAlignment="1" pivotButton="0" quotePrefix="0" xfId="9">
      <alignment horizontal="left" vertical="center"/>
    </xf>
    <xf numFmtId="0" fontId="6" fillId="0" borderId="0" applyAlignment="1" pivotButton="0" quotePrefix="0" xfId="10">
      <alignment vertical="center" wrapText="1"/>
    </xf>
    <xf numFmtId="49" fontId="6" fillId="0" borderId="0" applyAlignment="1" pivotButton="0" quotePrefix="0" xfId="5">
      <alignment horizontal="left" vertical="center"/>
    </xf>
    <xf numFmtId="164" fontId="6" fillId="0" borderId="0" applyAlignment="1" pivotButton="0" quotePrefix="0" xfId="5">
      <alignment vertical="center"/>
    </xf>
    <xf numFmtId="0" fontId="0" fillId="0" borderId="1" applyAlignment="1" pivotButton="0" quotePrefix="0" xfId="7">
      <alignment horizontal="left" wrapText="1"/>
    </xf>
    <xf numFmtId="0" fontId="0" fillId="0" borderId="1" pivotButton="0" quotePrefix="0" xfId="0"/>
    <xf numFmtId="0" fontId="6" fillId="0" borderId="1" applyAlignment="1" pivotButton="0" quotePrefix="0" xfId="7">
      <alignment horizontal="left" wrapText="1"/>
    </xf>
    <xf numFmtId="0" fontId="0" fillId="0" borderId="1" applyAlignment="1" pivotButton="0" quotePrefix="1" xfId="7">
      <alignment horizontal="left" wrapText="1"/>
    </xf>
    <xf numFmtId="164" fontId="6" fillId="0" borderId="0" applyAlignment="1" pivotButton="0" quotePrefix="0" xfId="5">
      <alignment vertical="center"/>
    </xf>
    <xf numFmtId="164" fontId="10" fillId="0" borderId="5" applyAlignment="1" pivotButton="0" quotePrefix="0" xfId="0">
      <alignment vertical="center"/>
    </xf>
    <xf numFmtId="164" fontId="9" fillId="4" borderId="6" applyAlignment="1" pivotButton="0" quotePrefix="0" xfId="11">
      <alignment horizontal="right"/>
    </xf>
    <xf numFmtId="164" fontId="9" fillId="0" borderId="2" applyAlignment="1" pivotButton="0" quotePrefix="0" xfId="12">
      <alignment horizontal="right"/>
    </xf>
    <xf numFmtId="164" fontId="14" fillId="3" borderId="3" applyAlignment="1" pivotButton="0" quotePrefix="0" xfId="6">
      <alignment horizontal="right"/>
    </xf>
    <xf numFmtId="164" fontId="16" fillId="3" borderId="3" applyAlignment="1" pivotButton="0" quotePrefix="0" xfId="6">
      <alignment horizontal="right"/>
    </xf>
  </cellXfs>
  <cellStyles count="14">
    <cellStyle name="Normal" xfId="0" builtinId="0"/>
    <cellStyle name="Título 1" xfId="1" builtinId="16"/>
    <cellStyle name="Título 2" xfId="2" builtinId="17"/>
    <cellStyle name="Título 3" xfId="3" builtinId="18"/>
    <cellStyle name="Título 4" xfId="4" builtinId="19"/>
    <cellStyle name="Moeda" xfId="5" builtinId="4"/>
    <cellStyle name="Total" xfId="6" builtinId="25"/>
    <cellStyle name="Texto do Rótulo" xfId="7"/>
    <cellStyle name="Linha de Cabeçalho" xfId="8"/>
    <cellStyle name="Data" xfId="9"/>
    <cellStyle name="Texto de tabela" xfId="10"/>
    <cellStyle name="Subtotal" xfId="11"/>
    <cellStyle name="Adiantamentos" xfId="12"/>
    <cellStyle name="Título" xfId="13" builtinId="15"/>
  </cellStyles>
  <dxfs count="78">
    <dxf>
      <font>
        <name val="Franklin Gothic Book"/>
        <family val="2"/>
        <strike val="0"/>
        <outline val="0"/>
        <shadow val="0"/>
        <condense val="0"/>
        <color theme="3"/>
        <extend val="0"/>
        <sz val="11"/>
        <vertAlign val="baseline"/>
        <scheme val="minor"/>
      </font>
      <numFmt numFmtId="11" formatCode="&quot;R$&quot;\ #,##0.00;\-&quot;R$&quot;\ #,##0.00"/>
      <alignment horizontal="general" vertical="center"/>
      <border outline="0">
        <left/>
        <right/>
        <top/>
        <bottom style="medium">
          <color theme="3"/>
        </bottom>
      </border>
    </dxf>
    <dxf>
      <font>
        <name val="Franklin Gothic Book"/>
        <family val="2"/>
        <strike val="0"/>
        <outline val="0"/>
        <shadow val="0"/>
        <condense val="0"/>
        <color theme="3"/>
        <extend val="0"/>
        <sz val="11"/>
        <vertAlign val="baseline"/>
        <scheme val="minor"/>
      </font>
      <numFmt numFmtId="11" formatCode="&quot;R$&quot;\ #,##0.00;\-&quot;R$&quot;\ #,##0.00"/>
      <alignment horizontal="general" vertical="center"/>
      <border outline="0">
        <left/>
        <right/>
        <top/>
        <bottom style="medium">
          <color theme="3"/>
        </bottom>
      </border>
    </dxf>
    <dxf>
      <font>
        <name val="Franklin Gothic Book"/>
        <family val="2"/>
        <strike val="0"/>
        <outline val="0"/>
        <shadow val="0"/>
        <condense val="0"/>
        <color theme="3"/>
        <extend val="0"/>
        <sz val="11"/>
        <vertAlign val="baseline"/>
        <scheme val="minor"/>
      </font>
      <numFmt numFmtId="11" formatCode="&quot;R$&quot;\ #,##0.00;\-&quot;R$&quot;\ #,##0.00"/>
      <alignment horizontal="general" vertical="center"/>
      <border outline="0">
        <left/>
        <right/>
        <top/>
        <bottom style="medium">
          <color theme="3"/>
        </bottom>
      </border>
    </dxf>
    <dxf>
      <font>
        <name val="Franklin Gothic Book"/>
        <family val="2"/>
        <strike val="0"/>
        <outline val="0"/>
        <shadow val="0"/>
        <condense val="0"/>
        <color theme="3"/>
        <extend val="0"/>
        <sz val="11"/>
        <vertAlign val="baseline"/>
        <scheme val="minor"/>
      </font>
      <numFmt numFmtId="11" formatCode="&quot;R$&quot;\ #,##0.00;\-&quot;R$&quot;\ #,##0.00"/>
      <alignment horizontal="general" vertical="center"/>
      <border outline="0">
        <left/>
        <right/>
        <top/>
        <bottom style="medium">
          <color theme="3"/>
        </bottom>
      </border>
    </dxf>
    <dxf>
      <font>
        <name val="Franklin Gothic Book"/>
        <family val="2"/>
        <strike val="0"/>
        <outline val="0"/>
        <shadow val="0"/>
        <condense val="0"/>
        <color theme="3"/>
        <extend val="0"/>
        <sz val="11"/>
        <vertAlign val="baseline"/>
        <scheme val="minor"/>
      </font>
      <numFmt numFmtId="11" formatCode="&quot;R$&quot;\ #,##0.00;\-&quot;R$&quot;\ #,##0.00"/>
      <alignment horizontal="general" vertical="center"/>
      <border outline="0">
        <left/>
        <right/>
        <top/>
        <bottom style="medium">
          <color theme="3"/>
        </bottom>
      </border>
    </dxf>
    <dxf>
      <font>
        <name val="Franklin Gothic Book"/>
        <family val="2"/>
        <strike val="0"/>
        <outline val="0"/>
        <shadow val="0"/>
        <condense val="0"/>
        <color theme="3"/>
        <extend val="0"/>
        <sz val="11"/>
        <vertAlign val="baseline"/>
        <scheme val="minor"/>
      </font>
      <numFmt numFmtId="11" formatCode="&quot;R$&quot;\ #,##0.00;\-&quot;R$&quot;\ #,##0.00"/>
      <alignment horizontal="general" vertical="center"/>
      <border outline="0">
        <left/>
        <right/>
        <top/>
        <bottom style="medium">
          <color theme="3"/>
        </bottom>
      </border>
    </dxf>
    <dxf>
      <font>
        <name val="Franklin Gothic Book"/>
        <family val="2"/>
        <strike val="0"/>
        <outline val="0"/>
        <shadow val="0"/>
        <condense val="0"/>
        <color theme="3"/>
        <extend val="0"/>
        <sz val="11"/>
        <vertAlign val="baseline"/>
        <scheme val="minor"/>
      </font>
      <numFmt numFmtId="11" formatCode="&quot;R$&quot;\ #,##0.00;\-&quot;R$&quot;\ #,##0.00"/>
      <alignment horizontal="general" vertical="center"/>
      <border outline="0">
        <left/>
        <right/>
        <top/>
        <bottom style="medium">
          <color theme="3"/>
        </bottom>
      </border>
    </dxf>
    <dxf>
      <font>
        <name val="Franklin Gothic Book"/>
        <family val="2"/>
        <strike val="0"/>
        <outline val="0"/>
        <shadow val="0"/>
        <condense val="0"/>
        <color theme="3"/>
        <extend val="0"/>
        <sz val="11"/>
        <vertAlign val="baseline"/>
        <scheme val="minor"/>
      </font>
      <numFmt numFmtId="11" formatCode="&quot;R$&quot;\ #,##0.00;\-&quot;R$&quot;\ #,##0.00"/>
      <alignment horizontal="general" vertical="center"/>
      <border outline="0">
        <left/>
        <right/>
        <top/>
        <bottom style="medium">
          <color theme="3"/>
        </bottom>
      </border>
    </dxf>
    <dxf>
      <font>
        <name val="Franklin Gothic Book"/>
        <family val="2"/>
        <strike val="0"/>
        <outline val="0"/>
        <shadow val="0"/>
        <condense val="0"/>
        <color theme="3"/>
        <extend val="0"/>
        <sz val="11"/>
        <vertAlign val="baseline"/>
        <scheme val="minor"/>
      </font>
      <alignment horizontal="general" vertical="center"/>
      <border outline="0">
        <left/>
        <right/>
        <top/>
        <bottom style="medium">
          <color theme="3"/>
        </bottom>
      </border>
    </dxf>
    <dxf>
      <font>
        <name val="Franklin Gothic Book"/>
        <family val="2"/>
        <strike val="0"/>
        <outline val="0"/>
        <shadow val="0"/>
        <condense val="0"/>
        <color theme="3"/>
        <extend val="0"/>
        <sz val="11"/>
        <vertAlign val="baseline"/>
        <scheme val="minor"/>
      </font>
      <alignment horizontal="general" vertical="center"/>
      <border outline="0">
        <left/>
        <right/>
        <top/>
        <bottom style="medium">
          <color theme="3"/>
        </bottom>
      </border>
    </dxf>
    <dxf>
      <font>
        <name val="Franklin Gothic Book"/>
        <family val="2"/>
        <strike val="0"/>
        <outline val="0"/>
        <shadow val="0"/>
        <condense val="0"/>
        <color theme="3"/>
        <extend val="0"/>
        <sz val="11"/>
        <vertAlign val="baseline"/>
        <scheme val="minor"/>
      </font>
      <alignment horizontal="general" vertical="center"/>
      <border outline="0">
        <left/>
        <right/>
        <top/>
        <bottom style="medium">
          <color theme="3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0" formatCode="@"/>
      <alignment horizontal="left" vertical="center"/>
    </dxf>
    <dxf>
      <alignment vertical="center"/>
    </dxf>
    <dxf>
      <alignment vertical="center"/>
    </dxf>
    <dxf>
      <alignment vertical="center"/>
    </dxf>
    <dxf>
      <font>
        <name val="Franklin Gothic Book"/>
        <family val="2"/>
        <strike val="0"/>
        <outline val="0"/>
        <shadow val="0"/>
        <color rgb="FF1F497D"/>
        <sz val="11"/>
        <vertAlign val="baseline"/>
      </font>
      <alignment vertical="center"/>
    </dxf>
    <dxf>
      <alignment horizontal="general" vertical="center"/>
    </dxf>
    <dxf>
      <font>
        <name val="Constantia"/>
        <family val="1"/>
        <b val="1"/>
        <strike val="0"/>
        <outline val="0"/>
        <shadow val="0"/>
        <color theme="1" tint="0.249946592608417"/>
        <sz val="11"/>
        <vertAlign val="baseline"/>
        <scheme val="major"/>
      </font>
      <alignment horizontal="center" vertical="center"/>
    </dxf>
    <dxf>
      <font>
        <name val="Franklin Gothic Book"/>
        <family val="2"/>
        <strike val="0"/>
        <outline val="0"/>
        <shadow val="0"/>
        <condense val="0"/>
        <color theme="3"/>
        <extend val="0"/>
        <sz val="11"/>
        <vertAlign val="baseline"/>
        <scheme val="minor"/>
      </font>
      <numFmt numFmtId="11" formatCode="&quot;R$&quot;\ #,##0.00;\-&quot;R$&quot;\ #,##0.00"/>
      <alignment horizontal="general" vertical="center"/>
      <border outline="0">
        <left/>
        <right/>
        <top/>
        <bottom style="medium">
          <color theme="3"/>
        </bottom>
      </border>
    </dxf>
    <dxf>
      <numFmt numFmtId="11" formatCode="&quot;R$&quot;\ #,##0.00;\-&quot;R$&quot;\ #,##0.00"/>
      <alignment vertical="center"/>
    </dxf>
    <dxf>
      <font>
        <name val="Franklin Gothic Book"/>
        <family val="2"/>
        <strike val="0"/>
        <outline val="0"/>
        <shadow val="0"/>
        <condense val="0"/>
        <color theme="3"/>
        <extend val="0"/>
        <sz val="11"/>
        <vertAlign val="baseline"/>
        <scheme val="minor"/>
      </font>
      <numFmt numFmtId="11" formatCode="&quot;R$&quot;\ #,##0.00;\-&quot;R$&quot;\ #,##0.00"/>
      <alignment horizontal="general" vertical="center"/>
      <border outline="0">
        <left/>
        <right/>
        <top/>
        <bottom style="medium">
          <color theme="3"/>
        </bottom>
      </border>
    </dxf>
    <dxf>
      <alignment vertical="center"/>
    </dxf>
    <dxf>
      <font>
        <name val="Franklin Gothic Book"/>
        <family val="2"/>
        <strike val="0"/>
        <outline val="0"/>
        <shadow val="0"/>
        <condense val="0"/>
        <color theme="3"/>
        <extend val="0"/>
        <sz val="11"/>
        <vertAlign val="baseline"/>
        <scheme val="minor"/>
      </font>
      <numFmt numFmtId="11" formatCode="&quot;R$&quot;\ #,##0.00;\-&quot;R$&quot;\ #,##0.00"/>
      <alignment horizontal="general" vertical="center"/>
      <border outline="0">
        <left/>
        <right/>
        <top/>
        <bottom style="medium">
          <color theme="3"/>
        </bottom>
      </border>
    </dxf>
    <dxf>
      <alignment vertical="center"/>
    </dxf>
    <dxf>
      <font>
        <name val="Franklin Gothic Book"/>
        <family val="2"/>
        <strike val="0"/>
        <outline val="0"/>
        <shadow val="0"/>
        <condense val="0"/>
        <color theme="3"/>
        <extend val="0"/>
        <sz val="11"/>
        <vertAlign val="baseline"/>
        <scheme val="minor"/>
      </font>
      <numFmt numFmtId="11" formatCode="&quot;R$&quot;\ #,##0.00;\-&quot;R$&quot;\ #,##0.00"/>
      <alignment horizontal="general" vertical="center"/>
      <border outline="0">
        <left/>
        <right/>
        <top/>
        <bottom style="medium">
          <color theme="3"/>
        </bottom>
      </border>
    </dxf>
    <dxf>
      <alignment vertical="center"/>
    </dxf>
    <dxf>
      <font>
        <name val="Franklin Gothic Book"/>
        <family val="2"/>
        <strike val="0"/>
        <outline val="0"/>
        <shadow val="0"/>
        <condense val="0"/>
        <color theme="3"/>
        <extend val="0"/>
        <sz val="11"/>
        <vertAlign val="baseline"/>
        <scheme val="minor"/>
      </font>
      <numFmt numFmtId="11" formatCode="&quot;R$&quot;\ #,##0.00;\-&quot;R$&quot;\ #,##0.00"/>
      <alignment horizontal="general" vertical="center"/>
      <border outline="0">
        <left/>
        <right/>
        <top/>
        <bottom style="medium">
          <color theme="3"/>
        </bottom>
      </border>
    </dxf>
    <dxf>
      <alignment vertical="center"/>
    </dxf>
    <dxf>
      <font>
        <name val="Franklin Gothic Book"/>
        <family val="2"/>
        <strike val="0"/>
        <outline val="0"/>
        <shadow val="0"/>
        <condense val="0"/>
        <color theme="3"/>
        <extend val="0"/>
        <sz val="11"/>
        <vertAlign val="baseline"/>
        <scheme val="minor"/>
      </font>
      <numFmt numFmtId="11" formatCode="&quot;R$&quot;\ #,##0.00;\-&quot;R$&quot;\ #,##0.00"/>
      <alignment horizontal="general" vertical="center"/>
      <border outline="0">
        <left/>
        <right/>
        <top/>
        <bottom style="medium">
          <color theme="3"/>
        </bottom>
      </border>
    </dxf>
    <dxf>
      <alignment vertical="center"/>
    </dxf>
    <dxf>
      <font>
        <name val="Franklin Gothic Book"/>
        <family val="2"/>
        <strike val="0"/>
        <outline val="0"/>
        <shadow val="0"/>
        <condense val="0"/>
        <color theme="3"/>
        <extend val="0"/>
        <sz val="11"/>
        <vertAlign val="baseline"/>
        <scheme val="minor"/>
      </font>
      <numFmt numFmtId="11" formatCode="&quot;R$&quot;\ #,##0.00;\-&quot;R$&quot;\ #,##0.00"/>
      <alignment horizontal="general" vertical="center"/>
      <border outline="0">
        <left/>
        <right/>
        <top/>
        <bottom style="medium">
          <color theme="3"/>
        </bottom>
      </border>
    </dxf>
    <dxf>
      <alignment vertical="center"/>
    </dxf>
    <dxf>
      <font>
        <name val="Franklin Gothic Book"/>
        <family val="2"/>
        <strike val="0"/>
        <outline val="0"/>
        <shadow val="0"/>
        <condense val="0"/>
        <color theme="3"/>
        <extend val="0"/>
        <sz val="11"/>
        <vertAlign val="baseline"/>
        <scheme val="minor"/>
      </font>
      <numFmt numFmtId="0" formatCode="General"/>
      <alignment horizontal="general" vertical="center"/>
      <border outline="0">
        <left/>
        <right/>
        <top/>
        <bottom style="medium">
          <color theme="3"/>
        </bottom>
      </border>
    </dxf>
    <dxf>
      <numFmt numFmtId="0" formatCode="General"/>
      <alignment vertical="center"/>
    </dxf>
    <dxf>
      <font>
        <name val="Franklin Gothic Book"/>
        <family val="2"/>
        <strike val="0"/>
        <outline val="0"/>
        <shadow val="0"/>
        <condense val="0"/>
        <color theme="3"/>
        <extend val="0"/>
        <sz val="11"/>
        <vertAlign val="baseline"/>
        <scheme val="minor"/>
      </font>
      <alignment horizontal="general" vertical="center"/>
      <border outline="0">
        <left/>
        <right/>
        <top/>
        <bottom style="medium">
          <color theme="3"/>
        </bottom>
      </border>
    </dxf>
    <dxf>
      <alignment vertical="center"/>
    </dxf>
    <dxf>
      <font>
        <name val="Franklin Gothic Book"/>
        <family val="2"/>
        <strike val="0"/>
        <outline val="0"/>
        <shadow val="0"/>
        <condense val="0"/>
        <color theme="3"/>
        <extend val="0"/>
        <sz val="11"/>
        <vertAlign val="baseline"/>
        <scheme val="minor"/>
      </font>
      <alignment horizontal="general" vertical="center"/>
      <border outline="0">
        <left/>
        <right/>
        <top/>
        <bottom style="medium">
          <color theme="3"/>
        </bottom>
      </border>
    </dxf>
    <dxf>
      <alignment vertical="center"/>
    </dxf>
    <dxf>
      <font>
        <name val="Franklin Gothic Book"/>
        <family val="2"/>
        <strike val="0"/>
        <outline val="0"/>
        <shadow val="0"/>
        <condense val="0"/>
        <color theme="3"/>
        <extend val="0"/>
        <sz val="11"/>
        <vertAlign val="baseline"/>
        <scheme val="minor"/>
      </font>
      <alignment horizontal="general" vertical="center"/>
      <border outline="0">
        <left/>
        <right/>
        <top/>
        <bottom style="medium">
          <color theme="3"/>
        </bottom>
      </border>
    </dxf>
    <dxf>
      <alignment vertical="center"/>
    </dxf>
    <dxf>
      <font>
        <name val="Franklin Gothic Book"/>
        <family val="2"/>
        <strike val="0"/>
        <outline val="0"/>
        <shadow val="0"/>
        <color rgb="FF1F497D"/>
        <sz val="11"/>
        <vertAlign val="baseline"/>
      </font>
      <alignment vertical="center"/>
    </dxf>
    <dxf>
      <alignment horizontal="general" vertical="center"/>
    </dxf>
    <dxf>
      <font>
        <name val="Constantia"/>
        <family val="1"/>
        <b val="1"/>
        <strike val="0"/>
        <outline val="0"/>
        <shadow val="0"/>
        <color theme="1" tint="0.249946592608417"/>
        <sz val="11"/>
        <vertAlign val="baseline"/>
        <scheme val="major"/>
      </font>
      <alignment horizontal="center" vertical="center"/>
    </dxf>
    <dxf>
      <font>
        <name val="Franklin Gothic Book"/>
        <family val="2"/>
        <strike val="0"/>
        <outline val="0"/>
        <shadow val="0"/>
        <condense val="0"/>
        <color theme="3"/>
        <extend val="0"/>
        <sz val="11"/>
        <vertAlign val="baseline"/>
        <scheme val="minor"/>
      </font>
      <numFmt numFmtId="11" formatCode="&quot;R$&quot;\ #,##0.00;\-&quot;R$&quot;\ #,##0.00"/>
      <alignment horizontal="general" vertical="center"/>
      <border outline="0">
        <left/>
        <right/>
        <top/>
        <bottom style="medium">
          <color theme="3"/>
        </bottom>
      </border>
    </dxf>
    <dxf>
      <numFmt numFmtId="11" formatCode="&quot;R$&quot;\ #,##0.00;\-&quot;R$&quot;\ #,##0.00"/>
      <alignment vertical="center"/>
    </dxf>
    <dxf>
      <font>
        <name val="Franklin Gothic Book"/>
        <family val="2"/>
        <strike val="0"/>
        <outline val="0"/>
        <shadow val="0"/>
        <condense val="0"/>
        <color theme="3"/>
        <extend val="0"/>
        <sz val="11"/>
        <vertAlign val="baseline"/>
        <scheme val="minor"/>
      </font>
      <numFmt numFmtId="11" formatCode="&quot;R$&quot;\ #,##0.00;\-&quot;R$&quot;\ #,##0.00"/>
      <alignment horizontal="general" vertical="center"/>
      <border outline="0">
        <left/>
        <right/>
        <top/>
        <bottom style="medium">
          <color theme="3"/>
        </bottom>
      </border>
    </dxf>
    <dxf>
      <alignment vertical="center"/>
    </dxf>
    <dxf>
      <font>
        <name val="Franklin Gothic Book"/>
        <family val="2"/>
        <strike val="0"/>
        <outline val="0"/>
        <shadow val="0"/>
        <condense val="0"/>
        <color theme="3"/>
        <extend val="0"/>
        <sz val="11"/>
        <vertAlign val="baseline"/>
        <scheme val="minor"/>
      </font>
      <numFmt numFmtId="11" formatCode="&quot;R$&quot;\ #,##0.00;\-&quot;R$&quot;\ #,##0.00"/>
      <alignment horizontal="general" vertical="center"/>
      <border outline="0">
        <left/>
        <right/>
        <top/>
        <bottom style="medium">
          <color theme="3"/>
        </bottom>
      </border>
    </dxf>
    <dxf>
      <alignment vertical="center"/>
    </dxf>
    <dxf>
      <font>
        <name val="Franklin Gothic Book"/>
        <family val="2"/>
        <strike val="0"/>
        <outline val="0"/>
        <shadow val="0"/>
        <condense val="0"/>
        <color theme="3"/>
        <extend val="0"/>
        <sz val="11"/>
        <vertAlign val="baseline"/>
        <scheme val="minor"/>
      </font>
      <numFmt numFmtId="11" formatCode="&quot;R$&quot;\ #,##0.00;\-&quot;R$&quot;\ #,##0.00"/>
      <alignment horizontal="general" vertical="center"/>
      <border outline="0">
        <left/>
        <right/>
        <top/>
        <bottom style="medium">
          <color theme="3"/>
        </bottom>
      </border>
    </dxf>
    <dxf>
      <alignment vertical="center"/>
    </dxf>
    <dxf>
      <font>
        <name val="Franklin Gothic Book"/>
        <family val="2"/>
        <strike val="0"/>
        <outline val="0"/>
        <shadow val="0"/>
        <condense val="0"/>
        <color theme="3"/>
        <extend val="0"/>
        <sz val="11"/>
        <vertAlign val="baseline"/>
        <scheme val="minor"/>
      </font>
      <numFmt numFmtId="11" formatCode="&quot;R$&quot;\ #,##0.00;\-&quot;R$&quot;\ #,##0.00"/>
      <alignment horizontal="general" vertical="center"/>
      <border outline="0">
        <left/>
        <right/>
        <top/>
        <bottom style="medium">
          <color theme="3"/>
        </bottom>
      </border>
    </dxf>
    <dxf>
      <alignment vertical="center"/>
    </dxf>
    <dxf>
      <font>
        <name val="Franklin Gothic Book"/>
        <family val="2"/>
        <strike val="0"/>
        <outline val="0"/>
        <shadow val="0"/>
        <condense val="0"/>
        <color theme="3"/>
        <extend val="0"/>
        <sz val="11"/>
        <vertAlign val="baseline"/>
        <scheme val="minor"/>
      </font>
      <numFmt numFmtId="11" formatCode="&quot;R$&quot;\ #,##0.00;\-&quot;R$&quot;\ #,##0.00"/>
      <alignment horizontal="general" vertical="center"/>
      <border outline="0">
        <left/>
        <right/>
        <top/>
        <bottom style="medium">
          <color theme="3"/>
        </bottom>
      </border>
    </dxf>
    <dxf>
      <alignment vertical="center"/>
    </dxf>
    <dxf>
      <font>
        <name val="Franklin Gothic Book"/>
        <family val="2"/>
        <strike val="0"/>
        <outline val="0"/>
        <shadow val="0"/>
        <condense val="0"/>
        <color theme="3"/>
        <extend val="0"/>
        <sz val="11"/>
        <vertAlign val="baseline"/>
        <scheme val="minor"/>
      </font>
      <numFmt numFmtId="11" formatCode="&quot;R$&quot;\ #,##0.00;\-&quot;R$&quot;\ #,##0.00"/>
      <alignment horizontal="general" vertical="center"/>
      <border outline="0">
        <left/>
        <right/>
        <top/>
        <bottom style="medium">
          <color theme="3"/>
        </bottom>
      </border>
    </dxf>
    <dxf>
      <alignment vertical="center"/>
    </dxf>
    <dxf>
      <font>
        <name val="Franklin Gothic Book"/>
        <family val="2"/>
        <strike val="0"/>
        <outline val="0"/>
        <shadow val="0"/>
        <condense val="0"/>
        <color theme="3"/>
        <extend val="0"/>
        <sz val="11"/>
        <vertAlign val="baseline"/>
        <scheme val="minor"/>
      </font>
      <alignment horizontal="general" vertical="center"/>
      <border outline="0">
        <left/>
        <right/>
        <top/>
        <bottom style="medium">
          <color theme="3"/>
        </bottom>
      </border>
    </dxf>
    <dxf>
      <numFmt numFmtId="0" formatCode="General"/>
      <alignment vertical="center"/>
    </dxf>
    <dxf>
      <font>
        <name val="Franklin Gothic Book"/>
        <family val="2"/>
        <strike val="0"/>
        <outline val="0"/>
        <shadow val="0"/>
        <condense val="0"/>
        <color theme="3"/>
        <extend val="0"/>
        <sz val="11"/>
        <vertAlign val="baseline"/>
        <scheme val="minor"/>
      </font>
      <alignment horizontal="general" vertical="center"/>
      <border outline="0">
        <left/>
        <right/>
        <top/>
        <bottom style="medium">
          <color theme="3"/>
        </bottom>
      </border>
    </dxf>
    <dxf>
      <alignment vertical="center"/>
    </dxf>
    <dxf>
      <font>
        <name val="Franklin Gothic Book"/>
        <family val="2"/>
        <strike val="0"/>
        <outline val="0"/>
        <shadow val="0"/>
        <condense val="0"/>
        <color theme="3"/>
        <extend val="0"/>
        <sz val="11"/>
        <vertAlign val="baseline"/>
        <scheme val="minor"/>
      </font>
      <alignment horizontal="general" vertical="center"/>
      <border outline="0">
        <left/>
        <right/>
        <top/>
        <bottom style="medium">
          <color theme="3"/>
        </bottom>
      </border>
    </dxf>
    <dxf>
      <alignment vertical="center"/>
    </dxf>
    <dxf>
      <font>
        <name val="Franklin Gothic Book"/>
        <family val="2"/>
        <strike val="0"/>
        <outline val="0"/>
        <shadow val="0"/>
        <condense val="0"/>
        <color theme="3"/>
        <extend val="0"/>
        <sz val="11"/>
        <vertAlign val="baseline"/>
        <scheme val="minor"/>
      </font>
      <alignment horizontal="general" vertical="center"/>
      <border outline="0">
        <left/>
        <right/>
        <top/>
        <bottom style="medium">
          <color theme="3"/>
        </bottom>
      </border>
    </dxf>
    <dxf>
      <alignment vertical="center"/>
    </dxf>
    <dxf>
      <font>
        <name val="Franklin Gothic Book"/>
        <family val="2"/>
        <strike val="0"/>
        <outline val="0"/>
        <shadow val="0"/>
        <color rgb="FF1F497D"/>
        <sz val="11"/>
        <vertAlign val="baseline"/>
      </font>
      <alignment vertical="center"/>
    </dxf>
    <dxf>
      <alignment horizontal="general" vertical="center"/>
    </dxf>
    <dxf>
      <font>
        <name val="Constantia"/>
        <family val="1"/>
        <b val="1"/>
        <strike val="0"/>
        <outline val="0"/>
        <shadow val="0"/>
        <color theme="1" tint="0.249946592608417"/>
        <sz val="11"/>
        <vertAlign val="baseline"/>
        <scheme val="major"/>
      </font>
      <alignment horizontal="center" vertical="center"/>
    </dxf>
    <dxf>
      <fill>
        <patternFill>
          <bgColor theme="0" tint="-0.0499893185216834"/>
        </patternFill>
      </fill>
    </dxf>
    <dxf>
      <font>
        <b val="1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"/>
        </vertical>
        <horizontal style="thin">
          <color theme="6" tint="0.5999633777886288"/>
        </horizontal>
      </border>
    </dxf>
  </dxfs>
  <tableStyles count="1" defaultTableStyle="TableStyleMedium2" defaultPivotStyle="PivotStyleLight16">
    <tableStyle name="Tabela de empresas" pivot="0" count="3">
      <tableStyleElement type="wholeTable" dxfId="77"/>
      <tableStyleElement type="headerRow" dxfId="76"/>
      <tableStyleElement type="secondRowStripe" dxfId="7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517071</colOff>
      <row>0</row>
      <rowOff>13609</rowOff>
    </from>
    <to>
      <col>11</col>
      <colOff>585106</colOff>
      <row>2</row>
      <rowOff>27216</rowOff>
    </to>
    <pic>
      <nvPicPr>
        <cNvPr id="2" name="Imagem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1966121" y="13609"/>
          <a:ext cx="2496910" cy="89943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1183821</colOff>
      <row>0</row>
      <rowOff>108859</rowOff>
    </from>
    <to>
      <col>12</col>
      <colOff>54428</colOff>
      <row>2</row>
      <rowOff>122466</rowOff>
    </to>
    <pic>
      <nvPicPr>
        <cNvPr id="2" name="Imagem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2641035" y="108859"/>
          <a:ext cx="2503714" cy="911678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557892</colOff>
      <row>0</row>
      <rowOff>0</rowOff>
    </from>
    <to>
      <col>11</col>
      <colOff>1005659</colOff>
      <row>2</row>
      <rowOff>27215</rowOff>
    </to>
    <pic>
      <nvPicPr>
        <cNvPr id="4" name="Imagem 3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1216367" y="0"/>
          <a:ext cx="2790918" cy="913040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DadosDespesas357" displayName="DadosDespesas357" ref="B8:L33" headerRowCount="1" totalsRowCount="1" headerRowDxfId="74" dataDxfId="73" totalsRowDxfId="72">
  <autoFilter ref="B8:L32"/>
  <tableColumns count="11">
    <tableColumn id="1" name="Data" totalsRowLabel="Total" dataDxfId="71" totalsRowDxfId="70" dataCellStyle="Data"/>
    <tableColumn id="2" name="Conta" dataDxfId="69" totalsRowDxfId="68" dataCellStyle="Texto de tabela"/>
    <tableColumn id="3" name="Descrição" dataDxfId="67" totalsRowDxfId="66" dataCellStyle="Texto de tabela"/>
    <tableColumn id="4" name="Documento" totalsRowFunction="average" dataDxfId="65" totalsRowDxfId="64" dataCellStyle="Moeda"/>
    <tableColumn id="5" name="Transporte" totalsRowFunction="sum" dataDxfId="63" totalsRowDxfId="62" dataCellStyle="Moeda"/>
    <tableColumn id="6" name="Combustível" totalsRowFunction="sum" dataDxfId="61" totalsRowDxfId="60" dataCellStyle="Moeda"/>
    <tableColumn id="7" name="Refeições" totalsRowFunction="sum" dataDxfId="59" totalsRowDxfId="58" dataCellStyle="Moeda"/>
    <tableColumn id="8" name="Hospedagem" totalsRowFunction="sum" dataDxfId="57" totalsRowDxfId="56" dataCellStyle="Moeda"/>
    <tableColumn id="10" name="Materiais" totalsRowFunction="sum" dataDxfId="55" totalsRowDxfId="54" dataCellStyle="Moeda"/>
    <tableColumn id="11" name="Diversos" totalsRowFunction="sum" dataDxfId="53" totalsRowDxfId="52" dataCellStyle="Moeda"/>
    <tableColumn id="12" name="Total" totalsRowFunction="sum" dataDxfId="51" totalsRowDxfId="50" dataCellStyle="Moeda">
      <calculatedColumnFormula>SUM(F9:K9)</calculatedColumnFormula>
    </tableColumn>
  </tableColumns>
  <tableStyleInfo name="Tabela de empresas" showFirstColumn="0" showLastColumn="0" showRowStripes="1" showColumnStripes="0"/>
</table>
</file>

<file path=xl/tables/table2.xml><?xml version="1.0" encoding="utf-8"?>
<table xmlns="http://schemas.openxmlformats.org/spreadsheetml/2006/main" id="2" name="DadosDespesas35" displayName="DadosDespesas35" ref="B8:L34" headerRowCount="1" totalsRowCount="1" headerRowDxfId="49" dataDxfId="48" totalsRowDxfId="47">
  <autoFilter ref="B8:L33"/>
  <sortState ref="B9:L33">
    <sortCondition ref="B8:B33"/>
  </sortState>
  <tableColumns count="11">
    <tableColumn id="1" name="Data" totalsRowLabel="Total" dataDxfId="46" totalsRowDxfId="45" dataCellStyle="Data"/>
    <tableColumn id="2" name="Conta" dataDxfId="44" totalsRowDxfId="43" dataCellStyle="Texto de tabela"/>
    <tableColumn id="3" name="Descrição" dataDxfId="42" totalsRowDxfId="41" dataCellStyle="Texto de tabela"/>
    <tableColumn id="4" name="Documento" totalsRowFunction="average" dataDxfId="40" totalsRowDxfId="39" dataCellStyle="Moeda"/>
    <tableColumn id="5" name="Transporte" totalsRowFunction="sum" dataDxfId="38" totalsRowDxfId="37" dataCellStyle="Moeda"/>
    <tableColumn id="6" name="Combustível" totalsRowFunction="sum" dataDxfId="36" totalsRowDxfId="35" dataCellStyle="Moeda"/>
    <tableColumn id="7" name="Refeições" totalsRowFunction="sum" dataDxfId="34" totalsRowDxfId="33" dataCellStyle="Moeda"/>
    <tableColumn id="8" name="Hospedagem" totalsRowFunction="sum" dataDxfId="32" totalsRowDxfId="31" dataCellStyle="Moeda"/>
    <tableColumn id="10" name="Materiais" totalsRowFunction="sum" dataDxfId="30" totalsRowDxfId="29" dataCellStyle="Moeda"/>
    <tableColumn id="11" name="Diversos" totalsRowFunction="sum" dataDxfId="28" totalsRowDxfId="27" dataCellStyle="Moeda"/>
    <tableColumn id="12" name="Total" totalsRowFunction="sum" dataDxfId="26" totalsRowDxfId="25" dataCellStyle="Moeda">
      <calculatedColumnFormula>SUM(DadosDespesas35[[#This Row],[Transporte]:[Diversos]])</calculatedColumnFormula>
    </tableColumn>
  </tableColumns>
  <tableStyleInfo name="Tabela de empresas" showFirstColumn="0" showLastColumn="0" showRowStripes="1" showColumnStripes="0"/>
</table>
</file>

<file path=xl/tables/table3.xml><?xml version="1.0" encoding="utf-8"?>
<table xmlns="http://schemas.openxmlformats.org/spreadsheetml/2006/main" id="3" name="DadosDespesas349" displayName="DadosDespesas349" ref="B8:L44" headerRowCount="1" totalsRowCount="1" headerRowDxfId="24" dataDxfId="23" totalsRowDxfId="22">
  <autoFilter ref="B8:L43"/>
  <sortState ref="B9:L43">
    <sortCondition ref="B8:B43"/>
  </sortState>
  <tableColumns count="11">
    <tableColumn id="1" name="Data" totalsRowLabel="Total" dataDxfId="21" totalsRowDxfId="10" dataCellStyle="Data"/>
    <tableColumn id="2" name="Conta" dataDxfId="20" totalsRowDxfId="9" dataCellStyle="Texto de tabela"/>
    <tableColumn id="3" name="Descrição" dataDxfId="19" totalsRowDxfId="8" dataCellStyle="Texto de tabela"/>
    <tableColumn id="4" name="Documento" totalsRowFunction="sum" dataDxfId="18" totalsRowDxfId="7" dataCellStyle="Moeda"/>
    <tableColumn id="5" name="Transporte" totalsRowFunction="sum" dataDxfId="17" totalsRowDxfId="6" dataCellStyle="Moeda"/>
    <tableColumn id="6" name="Combustível" totalsRowFunction="sum" dataDxfId="16" totalsRowDxfId="5" dataCellStyle="Moeda"/>
    <tableColumn id="7" name="Refeições" totalsRowFunction="sum" dataDxfId="15" totalsRowDxfId="4" dataCellStyle="Moeda"/>
    <tableColumn id="8" name="Hospedagem" totalsRowFunction="sum" dataDxfId="14" totalsRowDxfId="3" dataCellStyle="Moeda"/>
    <tableColumn id="10" name="Materiais" totalsRowFunction="sum" dataDxfId="13" totalsRowDxfId="2" dataCellStyle="Moeda"/>
    <tableColumn id="11" name="Diversos" totalsRowFunction="sum" dataDxfId="12" totalsRowDxfId="1" dataCellStyle="Moeda"/>
    <tableColumn id="12" name="Total" totalsRowFunction="sum" dataDxfId="11" totalsRowDxfId="0" dataCellStyle="Moeda">
      <calculatedColumnFormula>SUM(DadosDespesas349[[#This Row],[Documento]:[Diversos]])</calculatedColumnFormula>
    </tableColumn>
  </tableColumns>
  <tableStyleInfo name="Tabela de empresas" showFirstColumn="0" showLastColumn="0" showRowStripes="1" showColumnStripes="0"/>
</table>
</file>

<file path=xl/theme/theme1.xml><?xml version="1.0" encoding="utf-8"?>
<a:theme xmlns:a="http://schemas.openxmlformats.org/drawingml/2006/main" name="Business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_Activity Based Cost Tracker">
      <a:majorFont>
        <a:latin typeface="Constant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3.xml" Id="rId2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autoPageBreaks="0" fitToPage="1"/>
  </sheetPr>
  <dimension ref="A1:L36"/>
  <sheetViews>
    <sheetView showGridLines="0" zoomScale="70" zoomScaleNormal="70" workbookViewId="0">
      <selection activeCell="B9" sqref="B9:K24"/>
    </sheetView>
  </sheetViews>
  <sheetFormatPr baseColWidth="8" defaultRowHeight="30" customHeight="1"/>
  <cols>
    <col width="2.109375" customWidth="1" min="1" max="1"/>
    <col width="11.33203125" customWidth="1" min="2" max="2"/>
    <col width="12.33203125" customWidth="1" min="3" max="3"/>
    <col width="21.6640625" bestFit="1" customWidth="1" min="4" max="4"/>
    <col width="19.77734375" customWidth="1" min="5" max="5"/>
    <col width="16" bestFit="1" customWidth="1" min="6" max="6"/>
    <col width="17.109375" bestFit="1" customWidth="1" min="7" max="7"/>
    <col width="15.21875" bestFit="1" customWidth="1" min="8" max="8"/>
    <col width="18" bestFit="1" customWidth="1" min="9" max="9"/>
    <col width="14.44140625" bestFit="1" customWidth="1" min="10" max="10"/>
    <col width="13.88671875" bestFit="1" customWidth="1" min="11" max="12"/>
    <col width="2.6640625" customWidth="1" min="13" max="13"/>
  </cols>
  <sheetData>
    <row r="1" ht="56.25" customHeight="1">
      <c r="B1" s="7" t="n"/>
      <c r="L1" s="8" t="n"/>
    </row>
    <row r="2" ht="13.5" customHeight="1">
      <c r="B2" s="7" t="n"/>
      <c r="L2" s="8" t="n"/>
    </row>
    <row r="3" ht="32.25" customHeight="1">
      <c r="B3" s="4" t="inlineStr">
        <is>
          <t>Finalidade:</t>
        </is>
      </c>
      <c r="C3" s="35" t="inlineStr">
        <is>
          <t>Reembolso de Pagamentos e Despesa</t>
        </is>
      </c>
      <c r="D3" s="36" t="n"/>
      <c r="E3" s="4" t="inlineStr">
        <is>
          <t>Número do demonstrativo:</t>
        </is>
      </c>
      <c r="F3" s="35" t="inlineStr">
        <is>
          <t>RDD-112</t>
        </is>
      </c>
      <c r="G3" s="36" t="n"/>
      <c r="H3" s="4" t="inlineStr">
        <is>
          <t>Período de pagamento</t>
        </is>
      </c>
      <c r="I3" s="3" t="inlineStr">
        <is>
          <t>De:</t>
        </is>
      </c>
      <c r="J3" s="5" t="n">
        <v>46054</v>
      </c>
      <c r="K3" s="3" t="inlineStr">
        <is>
          <t>Para:</t>
        </is>
      </c>
      <c r="L3" s="13" t="inlineStr">
        <is>
          <t>31/02/2026</t>
        </is>
      </c>
    </row>
    <row r="4" ht="22.5" customHeight="1">
      <c r="B4" s="9" t="inlineStr">
        <is>
          <t>Informações de funcionários:</t>
        </is>
      </c>
    </row>
    <row r="5" ht="19.5" customHeight="1">
      <c r="B5" s="3" t="inlineStr">
        <is>
          <t>Nome</t>
        </is>
      </c>
      <c r="C5" s="35" t="inlineStr">
        <is>
          <t>João Carlos da Silva</t>
        </is>
      </c>
      <c r="D5" s="36" t="n"/>
      <c r="F5" s="3" t="inlineStr">
        <is>
          <t>Cargo</t>
        </is>
      </c>
      <c r="G5" s="35" t="inlineStr">
        <is>
          <t>Prestador de Serviços</t>
        </is>
      </c>
      <c r="H5" s="36" t="n"/>
      <c r="J5" s="3" t="inlineStr">
        <is>
          <t>CPF</t>
        </is>
      </c>
      <c r="K5" s="35" t="inlineStr">
        <is>
          <t>151.911.618-74</t>
        </is>
      </c>
      <c r="L5" s="36" t="n"/>
    </row>
    <row r="6" ht="21" customHeight="1">
      <c r="B6" s="3" t="inlineStr">
        <is>
          <t>Departamento</t>
        </is>
      </c>
      <c r="C6" s="35" t="inlineStr">
        <is>
          <t>Projetos</t>
        </is>
      </c>
      <c r="D6" s="36" t="n"/>
      <c r="F6" s="3" t="inlineStr">
        <is>
          <t>Gerente</t>
        </is>
      </c>
      <c r="G6" s="37" t="inlineStr">
        <is>
          <t>Roberto Almeida Blanco</t>
        </is>
      </c>
      <c r="H6" s="36" t="n"/>
      <c r="J6" s="3" t="inlineStr">
        <is>
          <t>ID do funcionário</t>
        </is>
      </c>
      <c r="K6" s="35" t="n"/>
      <c r="L6" s="36" t="n"/>
    </row>
    <row r="7" ht="5.25" customHeight="1"/>
    <row r="8" ht="32.25" customFormat="1" customHeight="1" s="6">
      <c r="B8" s="2" t="inlineStr">
        <is>
          <t>Data</t>
        </is>
      </c>
      <c r="C8" s="2" t="inlineStr">
        <is>
          <t>Conta</t>
        </is>
      </c>
      <c r="D8" s="2" t="inlineStr">
        <is>
          <t>Descrição</t>
        </is>
      </c>
      <c r="E8" s="2" t="inlineStr">
        <is>
          <t>Documento</t>
        </is>
      </c>
      <c r="F8" s="2" t="inlineStr">
        <is>
          <t>Transporte</t>
        </is>
      </c>
      <c r="G8" s="2" t="inlineStr">
        <is>
          <t>Combustível</t>
        </is>
      </c>
      <c r="H8" s="2" t="inlineStr">
        <is>
          <t>Refeições</t>
        </is>
      </c>
      <c r="I8" s="2" t="inlineStr">
        <is>
          <t>Hospedagem</t>
        </is>
      </c>
      <c r="J8" s="2" t="inlineStr">
        <is>
          <t>Materiais</t>
        </is>
      </c>
      <c r="K8" s="2" t="inlineStr">
        <is>
          <t>Diversos</t>
        </is>
      </c>
      <c r="L8" s="2" t="inlineStr">
        <is>
          <t>Total</t>
        </is>
      </c>
    </row>
    <row r="9" ht="20.1" customFormat="1" customHeight="1" s="6">
      <c r="B9" s="31" t="inlineStr">
        <is>
          <t>22/09/2026</t>
        </is>
      </c>
      <c r="C9" s="12" t="n"/>
      <c r="D9" s="12" t="inlineStr">
        <is>
          <t>2260510406 2 600015 3650000000452221003710165</t>
        </is>
      </c>
      <c r="E9" s="16" t="inlineStr">
        <is>
          <t>NFC-e 45222</t>
        </is>
      </c>
      <c r="F9" s="39" t="n"/>
      <c r="G9" s="39" t="n">
        <v>294.68</v>
      </c>
      <c r="H9" s="39" t="n"/>
      <c r="I9" s="39" t="n"/>
      <c r="J9" s="39" t="n"/>
      <c r="K9" s="39" t="n"/>
      <c r="L9" s="39">
        <f>SUM(F9:K9)</f>
        <v/>
      </c>
    </row>
    <row r="10" ht="20.1" customFormat="1" customHeight="1" s="6">
      <c r="B10" s="31" t="inlineStr">
        <is>
          <t>23/09/2026</t>
        </is>
      </c>
      <c r="C10" s="12" t="n"/>
      <c r="D10" s="12" t="inlineStr">
        <is>
          <t>ORGANIZAÇÃO COMERCIAL LAGO AZ. LTDA CNP°72.91° .837/0909-50</t>
        </is>
      </c>
      <c r="E10" s="16" t="inlineStr">
        <is>
          <t>NFC-e 000127991</t>
        </is>
      </c>
      <c r="F10" s="39" t="n"/>
      <c r="G10" s="39" t="n">
        <v>100.16</v>
      </c>
      <c r="H10" s="39" t="n"/>
      <c r="I10" s="39" t="n"/>
      <c r="J10" s="39" t="n"/>
      <c r="K10" s="39" t="n"/>
      <c r="L10" s="39">
        <f>SUM(F10:K10)</f>
        <v/>
      </c>
    </row>
    <row r="11" ht="20.1" customFormat="1" customHeight="1" s="6">
      <c r="B11" s="31" t="n"/>
      <c r="C11" s="12" t="n"/>
      <c r="D11" s="12" t="n"/>
      <c r="E11" s="16" t="n"/>
      <c r="F11" s="39" t="n"/>
      <c r="G11" s="39" t="n"/>
      <c r="H11" s="39" t="n"/>
      <c r="I11" s="39" t="n"/>
      <c r="J11" s="39" t="n"/>
      <c r="K11" s="39" t="n"/>
      <c r="L11" s="39">
        <f>SUM(F11:K11)</f>
        <v/>
      </c>
    </row>
    <row r="12" ht="20.1" customFormat="1" customHeight="1" s="6">
      <c r="B12" s="31" t="n"/>
      <c r="C12" s="12" t="n"/>
      <c r="D12" s="12" t="n"/>
      <c r="E12" s="16" t="n"/>
      <c r="F12" s="39" t="n"/>
      <c r="G12" s="39" t="n"/>
      <c r="H12" s="39" t="n"/>
      <c r="I12" s="39" t="n"/>
      <c r="J12" s="39" t="n"/>
      <c r="K12" s="39" t="n"/>
      <c r="L12" s="39">
        <f>SUM(F12:K12)</f>
        <v/>
      </c>
    </row>
    <row r="13" ht="20.1" customFormat="1" customHeight="1" s="6">
      <c r="B13" s="31" t="n"/>
      <c r="C13" s="12" t="n"/>
      <c r="D13" s="12" t="n"/>
      <c r="E13" s="16" t="n"/>
      <c r="F13" s="39" t="n"/>
      <c r="G13" s="39" t="n"/>
      <c r="H13" s="39" t="n"/>
      <c r="I13" s="39" t="n"/>
      <c r="J13" s="39" t="n"/>
      <c r="K13" s="39" t="n"/>
      <c r="L13" s="39">
        <f>SUM(F13:K13)</f>
        <v/>
      </c>
    </row>
    <row r="14" ht="20.1" customFormat="1" customHeight="1" s="6">
      <c r="B14" s="31" t="n"/>
      <c r="C14" s="12" t="n"/>
      <c r="D14" s="12" t="n"/>
      <c r="E14" s="16" t="n"/>
      <c r="F14" s="39" t="n"/>
      <c r="G14" s="39" t="n"/>
      <c r="H14" s="39" t="n"/>
      <c r="I14" s="39" t="n"/>
      <c r="J14" s="39" t="n"/>
      <c r="K14" s="39" t="n"/>
      <c r="L14" s="39">
        <f>SUM(F14:K14)</f>
        <v/>
      </c>
    </row>
    <row r="15" ht="20.1" customFormat="1" customHeight="1" s="6">
      <c r="B15" s="31" t="n"/>
      <c r="C15" s="12" t="n"/>
      <c r="D15" s="12" t="n"/>
      <c r="E15" s="16" t="n"/>
      <c r="F15" s="39" t="n"/>
      <c r="G15" s="39" t="n"/>
      <c r="H15" s="39" t="n"/>
      <c r="I15" s="39" t="n"/>
      <c r="J15" s="39" t="n"/>
      <c r="K15" s="39" t="n"/>
      <c r="L15" s="39">
        <f>SUM(F15:K15)</f>
        <v/>
      </c>
    </row>
    <row r="16" ht="20.1" customFormat="1" customHeight="1" s="6">
      <c r="B16" s="31" t="n"/>
      <c r="C16" s="12" t="n"/>
      <c r="D16" s="12" t="n"/>
      <c r="E16" s="16" t="n"/>
      <c r="F16" s="39" t="n"/>
      <c r="G16" s="39" t="n"/>
      <c r="H16" s="39" t="n"/>
      <c r="I16" s="39" t="n"/>
      <c r="J16" s="39" t="n"/>
      <c r="K16" s="39" t="n"/>
      <c r="L16" s="39">
        <f>SUM(F16:K16)</f>
        <v/>
      </c>
    </row>
    <row r="17" ht="20.1" customFormat="1" customHeight="1" s="6">
      <c r="B17" s="31" t="n"/>
      <c r="C17" s="12" t="n"/>
      <c r="D17" s="12" t="n"/>
      <c r="E17" s="16" t="n"/>
      <c r="F17" s="39" t="n"/>
      <c r="G17" s="39" t="n"/>
      <c r="H17" s="39" t="n"/>
      <c r="I17" s="39" t="n"/>
      <c r="J17" s="39" t="n"/>
      <c r="K17" s="39" t="n"/>
      <c r="L17" s="39">
        <f>SUM(F17:K17)</f>
        <v/>
      </c>
    </row>
    <row r="18" ht="20.1" customFormat="1" customHeight="1" s="6">
      <c r="B18" s="31" t="n"/>
      <c r="C18" s="12" t="n"/>
      <c r="D18" s="19" t="n"/>
      <c r="E18" s="16" t="n"/>
      <c r="F18" s="39" t="n"/>
      <c r="G18" s="39" t="n"/>
      <c r="H18" s="39" t="n"/>
      <c r="I18" s="39" t="n"/>
      <c r="J18" s="39" t="n"/>
      <c r="K18" s="39" t="n"/>
      <c r="L18" s="39">
        <f>SUM(F18:K18)</f>
        <v/>
      </c>
    </row>
    <row r="19" ht="20.1" customFormat="1" customHeight="1" s="6">
      <c r="B19" s="31" t="n"/>
      <c r="C19" s="12" t="n"/>
      <c r="D19" s="19" t="n"/>
      <c r="E19" s="16" t="n"/>
      <c r="F19" s="39" t="n"/>
      <c r="G19" s="39" t="n"/>
      <c r="H19" s="39" t="n"/>
      <c r="I19" s="39" t="n"/>
      <c r="J19" s="39" t="n"/>
      <c r="K19" s="39" t="n"/>
      <c r="L19" s="39">
        <f>SUM(F19:K19)</f>
        <v/>
      </c>
    </row>
    <row r="20" ht="20.1" customFormat="1" customHeight="1" s="6">
      <c r="B20" s="31" t="n"/>
      <c r="C20" s="12" t="n"/>
      <c r="D20" s="19" t="n"/>
      <c r="E20" s="16" t="n"/>
      <c r="F20" s="39" t="n"/>
      <c r="G20" s="39" t="n"/>
      <c r="H20" s="39" t="n"/>
      <c r="I20" s="39" t="n"/>
      <c r="J20" s="39" t="n"/>
      <c r="K20" s="39" t="n"/>
      <c r="L20" s="39">
        <f>SUM(F20:K20)</f>
        <v/>
      </c>
    </row>
    <row r="21" ht="20.1" customFormat="1" customHeight="1" s="6">
      <c r="A21" s="15" t="n"/>
      <c r="B21" s="31" t="n"/>
      <c r="C21" s="12" t="n"/>
      <c r="D21" s="19" t="n"/>
      <c r="E21" s="16" t="n"/>
      <c r="F21" s="39" t="n"/>
      <c r="G21" s="39" t="n"/>
      <c r="H21" s="39" t="n"/>
      <c r="I21" s="39" t="n"/>
      <c r="J21" s="39" t="n"/>
      <c r="K21" s="39" t="n"/>
      <c r="L21" s="39">
        <f>SUM(F21:K21)</f>
        <v/>
      </c>
    </row>
    <row r="22" ht="20.1" customFormat="1" customHeight="1" s="6">
      <c r="B22" s="31" t="n"/>
      <c r="C22" s="12" t="n"/>
      <c r="D22" s="12" t="n"/>
      <c r="E22" s="16" t="n"/>
      <c r="F22" s="39" t="n"/>
      <c r="G22" s="39" t="n"/>
      <c r="H22" s="39" t="n"/>
      <c r="I22" s="39" t="n"/>
      <c r="J22" s="39" t="n"/>
      <c r="K22" s="39" t="n"/>
      <c r="L22" s="39">
        <f>SUM(F22:K22)</f>
        <v/>
      </c>
    </row>
    <row r="23" ht="20.1" customFormat="1" customHeight="1" s="6">
      <c r="B23" s="31" t="n"/>
      <c r="C23" s="14" t="n"/>
      <c r="D23" s="12" t="n"/>
      <c r="E23" s="16" t="n"/>
      <c r="F23" s="39" t="n"/>
      <c r="G23" s="39" t="n"/>
      <c r="H23" s="39" t="n"/>
      <c r="I23" s="39" t="n"/>
      <c r="J23" s="39" t="n"/>
      <c r="K23" s="39" t="n"/>
      <c r="L23" s="39">
        <f>SUM(F23:K23)</f>
        <v/>
      </c>
    </row>
    <row r="24" ht="20.1" customFormat="1" customHeight="1" s="6">
      <c r="B24" s="31" t="n"/>
      <c r="C24" s="14" t="n"/>
      <c r="D24" s="12" t="n"/>
      <c r="E24" s="16" t="n"/>
      <c r="F24" s="39" t="n"/>
      <c r="G24" s="39" t="n"/>
      <c r="H24" s="39" t="n"/>
      <c r="I24" s="39" t="n"/>
      <c r="J24" s="39" t="n"/>
      <c r="K24" s="39" t="n"/>
      <c r="L24" s="39">
        <f>SUM(F24:K24)</f>
        <v/>
      </c>
    </row>
    <row r="25" ht="20.1" customFormat="1" customHeight="1" s="6">
      <c r="B25" s="31" t="n"/>
      <c r="C25" s="14" t="n"/>
      <c r="D25" s="12" t="n"/>
      <c r="E25" s="16" t="n"/>
      <c r="F25" s="39" t="n"/>
      <c r="G25" s="39" t="n"/>
      <c r="H25" s="39" t="n"/>
      <c r="I25" s="39" t="n"/>
      <c r="J25" s="39" t="n"/>
      <c r="K25" s="39" t="n"/>
      <c r="L25" s="39">
        <f>SUM(F25:K25)</f>
        <v/>
      </c>
    </row>
    <row r="26" ht="20.1" customFormat="1" customHeight="1" s="6">
      <c r="B26" s="31" t="n"/>
      <c r="C26" s="14" t="n"/>
      <c r="D26" s="12" t="n"/>
      <c r="E26" s="16" t="n"/>
      <c r="F26" s="39" t="n"/>
      <c r="G26" s="39" t="n"/>
      <c r="H26" s="39" t="n"/>
      <c r="I26" s="39" t="n"/>
      <c r="J26" s="39" t="n"/>
      <c r="K26" s="39" t="n"/>
      <c r="L26" s="39">
        <f>SUM(F26:K26)</f>
        <v/>
      </c>
    </row>
    <row r="27" ht="20.1" customFormat="1" customHeight="1" s="6">
      <c r="B27" s="31" t="n"/>
      <c r="C27" s="14" t="n"/>
      <c r="D27" s="12" t="n"/>
      <c r="E27" s="16" t="n"/>
      <c r="F27" s="39" t="n"/>
      <c r="G27" s="39" t="n"/>
      <c r="H27" s="39" t="n"/>
      <c r="I27" s="39" t="n"/>
      <c r="J27" s="39" t="n"/>
      <c r="K27" s="39" t="n"/>
      <c r="L27" s="39">
        <f>SUM(F27:K27)</f>
        <v/>
      </c>
    </row>
    <row r="28" ht="20.1" customFormat="1" customHeight="1" s="6">
      <c r="B28" s="31" t="n"/>
      <c r="C28" s="14" t="n"/>
      <c r="D28" s="12" t="n"/>
      <c r="E28" s="16" t="n"/>
      <c r="F28" s="39" t="n"/>
      <c r="G28" s="39" t="n"/>
      <c r="H28" s="39" t="n"/>
      <c r="I28" s="39" t="n"/>
      <c r="J28" s="39" t="n"/>
      <c r="K28" s="39" t="n"/>
      <c r="L28" s="39">
        <f>SUM(F28:K28)</f>
        <v/>
      </c>
    </row>
    <row r="29" ht="20.1" customFormat="1" customHeight="1" s="6">
      <c r="B29" s="31" t="n"/>
      <c r="C29" s="14" t="n"/>
      <c r="D29" s="12" t="n"/>
      <c r="E29" s="16" t="n"/>
      <c r="F29" s="39" t="n"/>
      <c r="G29" s="39" t="n"/>
      <c r="H29" s="39" t="n"/>
      <c r="I29" s="39" t="n"/>
      <c r="J29" s="39" t="n"/>
      <c r="K29" s="39" t="n"/>
      <c r="L29" s="39">
        <f>SUM(F29:K29)</f>
        <v/>
      </c>
    </row>
    <row r="30" ht="20.1" customFormat="1" customHeight="1" s="6">
      <c r="B30" s="31" t="n"/>
      <c r="C30" s="14" t="n"/>
      <c r="D30" s="12" t="n"/>
      <c r="E30" s="16" t="n"/>
      <c r="F30" s="39" t="n"/>
      <c r="G30" s="39" t="n"/>
      <c r="H30" s="39" t="n"/>
      <c r="I30" s="39" t="n"/>
      <c r="J30" s="39" t="n"/>
      <c r="K30" s="39" t="n"/>
      <c r="L30" s="39">
        <f>SUM(F30:K30)</f>
        <v/>
      </c>
    </row>
    <row r="31" ht="20.1" customFormat="1" customHeight="1" s="6">
      <c r="A31" s="15" t="n"/>
      <c r="B31" s="31" t="n"/>
      <c r="C31" s="14" t="n"/>
      <c r="D31" s="12" t="n"/>
      <c r="E31" s="16" t="n"/>
      <c r="F31" s="39" t="n"/>
      <c r="G31" s="39" t="n"/>
      <c r="H31" s="39" t="n"/>
      <c r="I31" s="39" t="n"/>
      <c r="J31" s="39" t="n"/>
      <c r="K31" s="39" t="n"/>
      <c r="L31" s="39">
        <f>SUM(F31:K31)</f>
        <v/>
      </c>
    </row>
    <row r="32" ht="20.1" customFormat="1" customHeight="1" s="6">
      <c r="A32" s="15" t="n"/>
      <c r="B32" s="31" t="n"/>
      <c r="C32" s="14" t="n"/>
      <c r="D32" s="12" t="n"/>
      <c r="E32" s="16" t="n"/>
      <c r="F32" s="39" t="n"/>
      <c r="G32" s="39" t="n"/>
      <c r="H32" s="39" t="n"/>
      <c r="I32" s="39" t="n"/>
      <c r="J32" s="39" t="n"/>
      <c r="K32" s="39" t="n"/>
      <c r="L32" s="39">
        <f>SUM(F32:K32)</f>
        <v/>
      </c>
    </row>
    <row r="33" ht="30" customHeight="1" thickBot="1">
      <c r="B33" s="18" t="inlineStr">
        <is>
          <t>Total</t>
        </is>
      </c>
      <c r="C33" s="18" t="n"/>
      <c r="D33" s="18" t="n"/>
      <c r="E33" s="18">
        <f>SUBTOTAL(101,DadosDespesas357[Documento])</f>
        <v/>
      </c>
      <c r="F33" s="40">
        <f>SUBTOTAL(109,DadosDespesas357[Transporte])</f>
        <v/>
      </c>
      <c r="G33" s="40">
        <f>SUBTOTAL(109,DadosDespesas357[Combustível])</f>
        <v/>
      </c>
      <c r="H33" s="40">
        <f>SUBTOTAL(109,DadosDespesas357[Refeições])</f>
        <v/>
      </c>
      <c r="I33" s="40">
        <f>SUBTOTAL(109,DadosDespesas357[Hospedagem])</f>
        <v/>
      </c>
      <c r="J33" s="40">
        <f>SUBTOTAL(109,DadosDespesas357[Materiais])</f>
        <v/>
      </c>
      <c r="K33" s="40">
        <f>SUBTOTAL(109,DadosDespesas357[Diversos])</f>
        <v/>
      </c>
      <c r="L33" s="40">
        <f>SUBTOTAL(109,DadosDespesas357[Total])</f>
        <v/>
      </c>
    </row>
    <row r="34" ht="30" customHeight="1">
      <c r="C34" s="1" t="n"/>
      <c r="D34" s="1" t="n"/>
      <c r="E34" s="1" t="n"/>
      <c r="F34" s="1" t="n"/>
      <c r="G34" s="1" t="n"/>
      <c r="H34" s="1" t="n"/>
      <c r="I34" s="1" t="n"/>
      <c r="K34" s="10" t="inlineStr">
        <is>
          <t>SUBTOTAL</t>
        </is>
      </c>
      <c r="L34" s="41">
        <f>DadosDespesas357[[#Totals],[Total]]</f>
        <v/>
      </c>
    </row>
    <row r="35" ht="30" customHeight="1" thickBot="1">
      <c r="B35" s="4" t="inlineStr">
        <is>
          <t>Aprovado:</t>
        </is>
      </c>
      <c r="C35" s="37" t="n"/>
      <c r="D35" s="36" t="n"/>
      <c r="E35" s="36" t="n"/>
      <c r="F35" s="11" t="inlineStr">
        <is>
          <t xml:space="preserve">Anotações: </t>
        </is>
      </c>
      <c r="G35" s="35" t="n"/>
      <c r="H35" s="36" t="n"/>
      <c r="I35" s="36" t="n"/>
      <c r="K35" s="10" t="inlineStr">
        <is>
          <t>PAGAMENTOS</t>
        </is>
      </c>
      <c r="L35" s="42" t="n"/>
    </row>
    <row r="36" ht="30" customHeight="1" thickTop="1">
      <c r="C36" s="37" t="n"/>
      <c r="D36" s="36" t="n"/>
      <c r="E36" s="36" t="n"/>
      <c r="F36" s="1" t="n"/>
      <c r="G36" s="37" t="n"/>
      <c r="H36" s="36" t="n"/>
      <c r="I36" s="36" t="n"/>
      <c r="K36" s="10" t="inlineStr">
        <is>
          <t>TOTAL</t>
        </is>
      </c>
      <c r="L36" s="43">
        <f>Subtotal-Adiantamentos</f>
        <v/>
      </c>
    </row>
  </sheetData>
  <mergeCells count="12">
    <mergeCell ref="F3:G3"/>
    <mergeCell ref="C36:E36"/>
    <mergeCell ref="G36:I36"/>
    <mergeCell ref="C6:D6"/>
    <mergeCell ref="C5:D5"/>
    <mergeCell ref="G5:H5"/>
    <mergeCell ref="K5:L5"/>
    <mergeCell ref="G35:I35"/>
    <mergeCell ref="G6:H6"/>
    <mergeCell ref="C35:E35"/>
    <mergeCell ref="K6:L6"/>
    <mergeCell ref="C3:D3"/>
  </mergeCells>
  <dataValidations count="44">
    <dataValidation sqref="B2" showDropDown="0" showInputMessage="0" showErrorMessage="1" allowBlank="1" prompt="O título Relatório de Despesas está nesta célula"/>
    <dataValidation sqref="A2" showDropDown="0" showInputMessage="1" showErrorMessage="1" allowBlank="1" prompt="Controle as despesas nesta planilha do Relatório de Despesas. Insira valores em várias categorias de despesas nas células B3 a K6 e na tabela Dados de Despesas"/>
    <dataValidation sqref="L1" showDropDown="0" showInputMessage="0" showErrorMessage="1" allowBlank="1" prompt="O relatório é apenas para uso do escritório"/>
    <dataValidation sqref="L3" showDropDown="0" showInputMessage="1" showErrorMessage="1" allowBlank="1" prompt="O período final para este relatório de despesas está nessa célula e é automaticamente determinado pelas entradas na tabela Dados de Despesas"/>
    <dataValidation sqref="F3:G3" showDropDown="0" showInputMessage="1" showErrorMessage="1" allowBlank="1" prompt="Insira o número da declaração para o relatório de despesas nesta célula"/>
    <dataValidation sqref="C3:D3" showDropDown="0" showInputMessage="1" showErrorMessage="1" allowBlank="1" prompt="Insira a finalidade do relatório de despesas nesta célula"/>
    <dataValidation sqref="J5" showDropDown="0" showInputMessage="1" showErrorMessage="1" allowBlank="1" prompt="Insira o CPF na célula à direita"/>
    <dataValidation sqref="J6" showDropDown="0" showInputMessage="1" showErrorMessage="1" allowBlank="1" prompt="Insira a ID do funcionário na célula à direita"/>
    <dataValidation sqref="F6" showDropDown="0" showInputMessage="1" showErrorMessage="1" allowBlank="1" prompt="Insira o nome do gerente na célula à direita"/>
    <dataValidation sqref="F5" showDropDown="0" showInputMessage="1" showErrorMessage="1" allowBlank="1" prompt="Insira o cargo do funcionário na célula à direita"/>
    <dataValidation sqref="B6" showDropDown="0" showInputMessage="1" showErrorMessage="1" allowBlank="1" prompt="Insira o departamento do funcionário na célula à direita"/>
    <dataValidation sqref="B5" showDropDown="0" showInputMessage="1" showErrorMessage="1" allowBlank="1" prompt="Insira o nome do funcionário na célula à direita"/>
    <dataValidation sqref="L36" showDropDown="0" showInputMessage="1" showErrorMessage="1" allowBlank="1" prompt="Total automaticamente calculado"/>
    <dataValidation sqref="L35" showDropDown="0" showInputMessage="1" showErrorMessage="1" allowBlank="1" prompt="Insira os Adiantamentos nesta célula"/>
    <dataValidation sqref="L34" showDropDown="0" showInputMessage="1" showErrorMessage="1" allowBlank="1" prompt="Subtotal calculado automaticamente"/>
    <dataValidation sqref="G35:I36" showDropDown="0" showInputMessage="1" showErrorMessage="1" allowBlank="1" prompt="Inserir Anotações nesta célula"/>
    <dataValidation sqref="F35" showDropDown="0" showInputMessage="1" showErrorMessage="1" allowBlank="1" prompt="Insira Anotações nas células à direita"/>
    <dataValidation sqref="C35:E36" showDropDown="0" showInputMessage="1" showErrorMessage="1" allowBlank="1" prompt="Insira a assinatura nesta célula"/>
    <dataValidation sqref="B35" showDropDown="0" showInputMessage="1" showErrorMessage="1" allowBlank="1" prompt="Insira comentários nas células à direita"/>
    <dataValidation sqref="L8" showDropDown="0" showInputMessage="1" showErrorMessage="1" allowBlank="1" prompt="O total de despesas é automaticamente calculado nesta coluna sob este título para cada data"/>
    <dataValidation sqref="K8" showDropDown="0" showInputMessage="1" showErrorMessage="1" allowBlank="1" prompt="Insira as despesas diversas nesta coluna neste título"/>
    <dataValidation sqref="J8" showDropDown="0" showInputMessage="1" showErrorMessage="1" allowBlank="1" prompt="Insira as despesas de entretenimento na coluna sob este cabeçalho"/>
    <dataValidation sqref="I8" showDropDown="0" showInputMessage="1" showErrorMessage="1" allowBlank="1" prompt="Insira as despesas de telefone na coluna sob este cabeçalho"/>
    <dataValidation sqref="H8" showDropDown="0" showInputMessage="1" showErrorMessage="1" allowBlank="1" prompt="Insira as despesas de refeições na coluna sob este cabeçalho"/>
    <dataValidation sqref="G8" showDropDown="0" showInputMessage="1" showErrorMessage="1" allowBlank="1" prompt="Insira as despesas de combustível na coluna sob este cabeçalho"/>
    <dataValidation sqref="F8" showDropDown="0" showInputMessage="1" showErrorMessage="1" allowBlank="1" prompt="Insira as despesas de transporte na coluna sob este cabeçalho"/>
    <dataValidation sqref="E8" showDropDown="0" showInputMessage="1" showErrorMessage="1" allowBlank="1" prompt="Insira as despesas de hotel na coluna sob este cabeçalho"/>
    <dataValidation sqref="D8" showDropDown="0" showInputMessage="1" showErrorMessage="1" allowBlank="1" prompt="Insira a descrição na coluna sob este cabeçalho"/>
    <dataValidation sqref="C8" showDropDown="0" showInputMessage="1" showErrorMessage="1" allowBlank="1" prompt="Insira a conta na coluna sob este cabeçalho"/>
    <dataValidation sqref="B8" showDropDown="0" showInputMessage="1" showErrorMessage="1" allowBlank="1" prompt="Insira a data nesta coluna sob este título"/>
    <dataValidation sqref="J3" showDropDown="0" showInputMessage="1" showErrorMessage="1" allowBlank="1" prompt="O período inicial para este relatório de despesas está nessa célula e é automaticamente determinado pelas entradas na tabela Dados de Despesas"/>
    <dataValidation sqref="H3" showDropDown="0" showInputMessage="1" showErrorMessage="1" allowBlank="1" prompt="O período de pagamento é atualizado automaticamente com base nas entradas na tabela Dados de Despesas"/>
    <dataValidation sqref="K6:L6" showDropDown="0" showInputMessage="1" showErrorMessage="1" allowBlank="1" prompt="Insira a ID do funcionário nesta célula"/>
    <dataValidation sqref="K5:L5" showDropDown="0" showInputMessage="1" showErrorMessage="1" allowBlank="1" prompt="Insira o CPF nesta célula"/>
    <dataValidation sqref="G6:H6" showDropDown="0" showInputMessage="1" showErrorMessage="1" allowBlank="1" prompt="Insira o nome do gerente nesta célula"/>
    <dataValidation sqref="G5:H5" showDropDown="0" showInputMessage="1" showErrorMessage="1" allowBlank="1" prompt="Insira o cargo do funcionário nesta célula"/>
    <dataValidation sqref="C6:D6" showDropDown="0" showInputMessage="1" showErrorMessage="1" allowBlank="1" prompt="Insira o departamento do funcionário nesta célula"/>
    <dataValidation sqref="C5:D5" showDropDown="0" showInputMessage="1" showErrorMessage="1" allowBlank="1" prompt="Insira o nome do funcionário nesta célula"/>
    <dataValidation sqref="B4" showDropDown="0" showInputMessage="1" showErrorMessage="1" allowBlank="1" prompt="Inserir as informações dos funcionários nas células abaixo"/>
    <dataValidation sqref="E3" showDropDown="0" showInputMessage="1" showErrorMessage="1" allowBlank="1" prompt="Insira o número da declaração na célula à direita."/>
    <dataValidation sqref="B3" showDropDown="0" showInputMessage="1" showErrorMessage="1" allowBlank="1" prompt="Insira a finalidade das despesas na célula à direita"/>
    <dataValidation sqref="B1" showDropDown="0" showInputMessage="1" showErrorMessage="1" allowBlank="1" prompt="O título Relatório de Despesas está nesta célula"/>
    <dataValidation sqref="L2" showDropDown="0" showInputMessage="1" showErrorMessage="1" allowBlank="1" prompt="O relatório é apenas para uso do escritório"/>
    <dataValidation sqref="A1" showDropDown="0" showInputMessage="1" showErrorMessage="1" allowBlank="1" prompt="Controle as despesas nesta planilha do Relatório de Despesas. Insira valores em várias categorias de despesas nas células B3 a K6 e na tabela Dados de Despesas."/>
  </dataValidations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67" fitToHeight="0" blackAndWhite="1" horizontalDpi="300" verticalDpi="300"/>
  <headerFooter differentFirst="1">
    <oddHeader/>
    <oddFooter>&amp;L&amp;C&amp;R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tabColor theme="4"/>
    <outlinePr summaryBelow="1" summaryRight="1"/>
    <pageSetUpPr autoPageBreaks="0" fitToPage="1"/>
  </sheetPr>
  <dimension ref="A1:L37"/>
  <sheetViews>
    <sheetView showGridLines="0" zoomScale="70" zoomScaleNormal="70" workbookViewId="0">
      <selection activeCell="D11" sqref="D11"/>
    </sheetView>
  </sheetViews>
  <sheetFormatPr baseColWidth="8" defaultRowHeight="30" customHeight="1"/>
  <cols>
    <col width="2.109375" customWidth="1" min="1" max="1"/>
    <col width="11.33203125" customWidth="1" min="2" max="2"/>
    <col width="12.33203125" customWidth="1" min="3" max="3"/>
    <col width="21.6640625" bestFit="1" customWidth="1" min="4" max="4"/>
    <col width="19.77734375" customWidth="1" min="5" max="5"/>
    <col width="16" bestFit="1" customWidth="1" min="6" max="6"/>
    <col width="17.109375" bestFit="1" customWidth="1" min="7" max="7"/>
    <col width="15.21875" bestFit="1" customWidth="1" min="8" max="8"/>
    <col width="18" bestFit="1" customWidth="1" min="9" max="9"/>
    <col width="14.44140625" bestFit="1" customWidth="1" min="10" max="10"/>
    <col width="13.88671875" bestFit="1" customWidth="1" min="11" max="12"/>
    <col width="2.6640625" customWidth="1" min="13" max="13"/>
  </cols>
  <sheetData>
    <row r="1" ht="56.25" customHeight="1">
      <c r="B1" s="7" t="n"/>
      <c r="L1" s="8" t="n"/>
    </row>
    <row r="2" ht="13.5" customHeight="1">
      <c r="B2" s="7" t="n"/>
      <c r="L2" s="8" t="n"/>
    </row>
    <row r="3" ht="32.25" customHeight="1">
      <c r="B3" s="4" t="inlineStr">
        <is>
          <t>Finalidade:</t>
        </is>
      </c>
      <c r="C3" s="35" t="inlineStr">
        <is>
          <t>Reembolso de Pagamentos e Despesa</t>
        </is>
      </c>
      <c r="D3" s="36" t="n"/>
      <c r="E3" s="4" t="inlineStr">
        <is>
          <t>Número do demonstrativo:</t>
        </is>
      </c>
      <c r="F3" s="35" t="inlineStr">
        <is>
          <t>RDD-113</t>
        </is>
      </c>
      <c r="G3" s="36" t="n"/>
      <c r="H3" s="4" t="inlineStr">
        <is>
          <t>Período de pagamento</t>
        </is>
      </c>
      <c r="I3" s="3" t="inlineStr">
        <is>
          <t>De:</t>
        </is>
      </c>
      <c r="J3" s="5" t="n">
        <v>46082</v>
      </c>
      <c r="K3" s="3" t="inlineStr">
        <is>
          <t>Para:</t>
        </is>
      </c>
      <c r="L3" s="13" t="n">
        <v>46112</v>
      </c>
    </row>
    <row r="4" ht="22.5" customHeight="1">
      <c r="B4" s="9" t="inlineStr">
        <is>
          <t>Informações de funcionários:</t>
        </is>
      </c>
    </row>
    <row r="5" ht="19.5" customHeight="1">
      <c r="B5" s="3" t="inlineStr">
        <is>
          <t>Nome</t>
        </is>
      </c>
      <c r="C5" s="35" t="inlineStr">
        <is>
          <t>João Carlos da Silva</t>
        </is>
      </c>
      <c r="D5" s="36" t="n"/>
      <c r="F5" s="3" t="inlineStr">
        <is>
          <t>Cargo</t>
        </is>
      </c>
      <c r="G5" s="35" t="inlineStr">
        <is>
          <t>Prestador de Serviços</t>
        </is>
      </c>
      <c r="H5" s="36" t="n"/>
      <c r="J5" s="3" t="inlineStr">
        <is>
          <t>CPF</t>
        </is>
      </c>
      <c r="K5" s="35" t="inlineStr">
        <is>
          <t>151.911.618-74</t>
        </is>
      </c>
      <c r="L5" s="36" t="n"/>
    </row>
    <row r="6" ht="21" customHeight="1">
      <c r="B6" s="3" t="inlineStr">
        <is>
          <t>Departamento</t>
        </is>
      </c>
      <c r="C6" s="35" t="inlineStr">
        <is>
          <t>Projetos</t>
        </is>
      </c>
      <c r="D6" s="36" t="n"/>
      <c r="F6" s="3" t="inlineStr">
        <is>
          <t>Gerente</t>
        </is>
      </c>
      <c r="G6" s="37" t="inlineStr">
        <is>
          <t>Roberto Almeida Blanco</t>
        </is>
      </c>
      <c r="H6" s="36" t="n"/>
      <c r="J6" s="3" t="inlineStr">
        <is>
          <t>ID do funcionário</t>
        </is>
      </c>
      <c r="K6" s="35" t="n"/>
      <c r="L6" s="36" t="n"/>
    </row>
    <row r="7" ht="5.25" customHeight="1"/>
    <row r="8" ht="32.25" customFormat="1" customHeight="1" s="6">
      <c r="B8" s="2" t="inlineStr">
        <is>
          <t>Data</t>
        </is>
      </c>
      <c r="C8" s="2" t="inlineStr">
        <is>
          <t>Conta</t>
        </is>
      </c>
      <c r="D8" s="2" t="inlineStr">
        <is>
          <t>Descrição</t>
        </is>
      </c>
      <c r="E8" s="2" t="inlineStr">
        <is>
          <t>Documento</t>
        </is>
      </c>
      <c r="F8" s="2" t="inlineStr">
        <is>
          <t>Transporte</t>
        </is>
      </c>
      <c r="G8" s="2" t="inlineStr">
        <is>
          <t>Combustível</t>
        </is>
      </c>
      <c r="H8" s="2" t="inlineStr">
        <is>
          <t>Refeições</t>
        </is>
      </c>
      <c r="I8" s="2" t="inlineStr">
        <is>
          <t>Hospedagem</t>
        </is>
      </c>
      <c r="J8" s="2" t="inlineStr">
        <is>
          <t>Materiais</t>
        </is>
      </c>
      <c r="K8" s="2" t="inlineStr">
        <is>
          <t>Diversos</t>
        </is>
      </c>
      <c r="L8" s="2" t="inlineStr">
        <is>
          <t>Total</t>
        </is>
      </c>
    </row>
    <row r="9" ht="20.1" customFormat="1" customHeight="1" s="6">
      <c r="B9" s="31" t="n">
        <v>46086</v>
      </c>
      <c r="C9" s="12" t="inlineStr">
        <is>
          <t>SESI/SENAI</t>
        </is>
      </c>
      <c r="D9" s="12" t="inlineStr">
        <is>
          <t>AUTO POSTO RECANTO</t>
        </is>
      </c>
      <c r="E9" s="16" t="inlineStr">
        <is>
          <t>NFC-E 16763</t>
        </is>
      </c>
      <c r="F9" s="39" t="n"/>
      <c r="G9" s="39" t="n">
        <v>133.13</v>
      </c>
      <c r="H9" s="39" t="n"/>
      <c r="I9" s="39" t="n"/>
      <c r="J9" s="39" t="n"/>
      <c r="K9" s="39" t="n"/>
      <c r="L9" s="39">
        <f>SUM(DadosDespesas35[[#This Row],[Transporte]:[Diversos]])</f>
        <v/>
      </c>
    </row>
    <row r="10" ht="20.1" customFormat="1" customHeight="1" s="6">
      <c r="B10" s="31" t="n">
        <v>46086</v>
      </c>
      <c r="C10" s="12" t="inlineStr">
        <is>
          <t>SESI/SENAI</t>
        </is>
      </c>
      <c r="D10" s="12" t="inlineStr">
        <is>
          <t>CASA DO CONSTRUTOR</t>
        </is>
      </c>
      <c r="E10" s="16" t="inlineStr">
        <is>
          <t>NFC-E 16954</t>
        </is>
      </c>
      <c r="F10" s="39" t="n"/>
      <c r="G10" s="39" t="n"/>
      <c r="H10" s="39" t="n"/>
      <c r="I10" s="39" t="n"/>
      <c r="J10" s="39" t="n"/>
      <c r="K10" s="39" t="n">
        <v>119.3</v>
      </c>
      <c r="L10" s="39">
        <f>SUM(DadosDespesas35[[#This Row],[Transporte]:[Diversos]])</f>
        <v/>
      </c>
    </row>
    <row r="11" ht="20.1" customFormat="1" customHeight="1" s="6">
      <c r="B11" s="31" t="n">
        <v>46086</v>
      </c>
      <c r="C11" s="12" t="inlineStr">
        <is>
          <t>SESI/SENAI</t>
        </is>
      </c>
      <c r="D11" s="12" t="inlineStr">
        <is>
          <t>CASA DO CONSTRUTOR</t>
        </is>
      </c>
      <c r="E11" s="16" t="inlineStr">
        <is>
          <t>NFC-E 16955</t>
        </is>
      </c>
      <c r="F11" s="39" t="n"/>
      <c r="G11" s="39" t="n"/>
      <c r="H11" s="39" t="n"/>
      <c r="I11" s="39" t="n"/>
      <c r="J11" s="39" t="n"/>
      <c r="K11" s="39" t="n">
        <v>11.55</v>
      </c>
      <c r="L11" s="39">
        <f>SUM(DadosDespesas35[[#This Row],[Transporte]:[Diversos]])</f>
        <v/>
      </c>
    </row>
    <row r="12" ht="31.5" customFormat="1" customHeight="1" s="6">
      <c r="B12" s="31" t="n">
        <v>46086</v>
      </c>
      <c r="C12" s="12" t="inlineStr">
        <is>
          <t>SESI/SENAI</t>
        </is>
      </c>
      <c r="D12" s="12" t="inlineStr">
        <is>
          <t>DEPOSITO IRMÃO MARCHIORETTO</t>
        </is>
      </c>
      <c r="E12" s="16" t="inlineStr">
        <is>
          <t>NFC-E 665602</t>
        </is>
      </c>
      <c r="F12" s="39" t="n"/>
      <c r="G12" s="39" t="n"/>
      <c r="H12" s="39" t="n"/>
      <c r="I12" s="39" t="n"/>
      <c r="J12" s="39" t="n">
        <v>93.64</v>
      </c>
      <c r="K12" s="39" t="n"/>
      <c r="L12" s="39">
        <f>SUM(DadosDespesas35[[#This Row],[Transporte]:[Diversos]])</f>
        <v/>
      </c>
    </row>
    <row r="13" ht="20.1" customFormat="1" customHeight="1" s="6">
      <c r="B13" s="31" t="n">
        <v>46087</v>
      </c>
      <c r="C13" s="12" t="inlineStr">
        <is>
          <t>SESI/SENAI</t>
        </is>
      </c>
      <c r="D13" s="12" t="inlineStr">
        <is>
          <t>AUTO POSTO RECANTO</t>
        </is>
      </c>
      <c r="E13" s="16" t="inlineStr">
        <is>
          <t>NFC-E 17165</t>
        </is>
      </c>
      <c r="F13" s="39" t="n"/>
      <c r="G13" s="39" t="n">
        <v>239.44</v>
      </c>
      <c r="H13" s="39" t="n"/>
      <c r="I13" s="39" t="n"/>
      <c r="J13" s="39" t="n"/>
      <c r="K13" s="39" t="n"/>
      <c r="L13" s="39">
        <f>SUM(DadosDespesas35[[#This Row],[Transporte]:[Diversos]])</f>
        <v/>
      </c>
    </row>
    <row r="14" ht="20.1" customFormat="1" customHeight="1" s="6">
      <c r="B14" s="31" t="n">
        <v>46088</v>
      </c>
      <c r="C14" s="12" t="inlineStr">
        <is>
          <t>SESI/SENAI</t>
        </is>
      </c>
      <c r="D14" s="19" t="inlineStr">
        <is>
          <t>AUTO POSTO RODOVIAS</t>
        </is>
      </c>
      <c r="E14" s="16" t="inlineStr">
        <is>
          <t>NFC-E 14090</t>
        </is>
      </c>
      <c r="F14" s="39" t="n"/>
      <c r="G14" s="39" t="n">
        <v>244.78</v>
      </c>
      <c r="H14" s="39" t="n"/>
      <c r="I14" s="39" t="n"/>
      <c r="J14" s="39" t="n"/>
      <c r="K14" s="39" t="n"/>
      <c r="L14" s="39">
        <f>SUM(DadosDespesas35[[#This Row],[Transporte]:[Diversos]])</f>
        <v/>
      </c>
    </row>
    <row r="15" ht="20.1" customFormat="1" customHeight="1" s="6">
      <c r="B15" s="31" t="n">
        <v>46091</v>
      </c>
      <c r="C15" s="12" t="inlineStr">
        <is>
          <t>SESI/SENAI</t>
        </is>
      </c>
      <c r="D15" s="12" t="inlineStr">
        <is>
          <t>AUTO POSTO RECANTO</t>
        </is>
      </c>
      <c r="E15" s="16" t="inlineStr">
        <is>
          <t>NFC-E 20575</t>
        </is>
      </c>
      <c r="F15" s="39" t="n"/>
      <c r="G15" s="39" t="n">
        <v>184.2</v>
      </c>
      <c r="H15" s="39" t="n"/>
      <c r="I15" s="39" t="n"/>
      <c r="J15" s="39" t="n"/>
      <c r="K15" s="39" t="n"/>
      <c r="L15" s="39">
        <f>SUM(DadosDespesas35[[#This Row],[Transporte]:[Diversos]])</f>
        <v/>
      </c>
    </row>
    <row r="16" ht="31.5" customFormat="1" customHeight="1" s="6">
      <c r="B16" s="31" t="n">
        <v>46093</v>
      </c>
      <c r="C16" s="12" t="inlineStr">
        <is>
          <t>SESI/SENAI</t>
        </is>
      </c>
      <c r="D16" s="12" t="inlineStr">
        <is>
          <t>CHURRASCARIA ESPETO NA BRASA</t>
        </is>
      </c>
      <c r="E16" s="16" t="inlineStr">
        <is>
          <t>NFC-E 2830</t>
        </is>
      </c>
      <c r="F16" s="39" t="n"/>
      <c r="G16" s="39" t="n"/>
      <c r="H16" s="39" t="n">
        <v>57.1</v>
      </c>
      <c r="I16" s="39" t="n"/>
      <c r="J16" s="39" t="n"/>
      <c r="K16" s="39" t="n"/>
      <c r="L16" s="39">
        <f>SUM(DadosDespesas35[[#This Row],[Transporte]:[Diversos]])</f>
        <v/>
      </c>
    </row>
    <row r="17" ht="20.1" customFormat="1" customHeight="1" s="6">
      <c r="B17" s="31" t="n">
        <v>46093</v>
      </c>
      <c r="C17" s="12" t="inlineStr">
        <is>
          <t>SESI/SENAI</t>
        </is>
      </c>
      <c r="D17" s="12" t="inlineStr">
        <is>
          <t xml:space="preserve">COESA AUTOPOSTO </t>
        </is>
      </c>
      <c r="E17" s="16" t="inlineStr">
        <is>
          <t>NFC-E 39097</t>
        </is>
      </c>
      <c r="F17" s="39" t="n"/>
      <c r="G17" s="39" t="n"/>
      <c r="H17" s="39" t="n">
        <v>250.01</v>
      </c>
      <c r="I17" s="39" t="n"/>
      <c r="J17" s="39" t="n"/>
      <c r="K17" s="39" t="n"/>
      <c r="L17" s="39">
        <f>SUM(DadosDespesas35[[#This Row],[Transporte]:[Diversos]])</f>
        <v/>
      </c>
    </row>
    <row r="18" ht="20.1" customFormat="1" customHeight="1" s="6">
      <c r="B18" s="31" t="n">
        <v>46094</v>
      </c>
      <c r="C18" s="12" t="inlineStr">
        <is>
          <t>SESI/SENAI</t>
        </is>
      </c>
      <c r="D18" s="12" t="inlineStr">
        <is>
          <t>CHURRASCARIA KAMBUI</t>
        </is>
      </c>
      <c r="E18" s="16" t="inlineStr">
        <is>
          <t>NFC-E 172635511618943</t>
        </is>
      </c>
      <c r="F18" s="39" t="n"/>
      <c r="G18" s="39" t="n"/>
      <c r="H18" s="39" t="n">
        <v>28.8</v>
      </c>
      <c r="I18" s="39" t="n"/>
      <c r="J18" s="39" t="n"/>
      <c r="K18" s="39" t="n"/>
      <c r="L18" s="39">
        <f>SUM(DadosDespesas35[[#This Row],[Transporte]:[Diversos]])</f>
        <v/>
      </c>
    </row>
    <row r="19" ht="31.5" customFormat="1" customHeight="1" s="6">
      <c r="B19" s="31" t="n">
        <v>46094</v>
      </c>
      <c r="C19" s="12" t="inlineStr">
        <is>
          <t>SESI/SENAI</t>
        </is>
      </c>
      <c r="D19" s="12" t="inlineStr">
        <is>
          <t>PM DE SANTA RITA DI PASSA QUATRO</t>
        </is>
      </c>
      <c r="E19" s="16" t="inlineStr">
        <is>
          <t>NFE6604</t>
        </is>
      </c>
      <c r="F19" s="39" t="n"/>
      <c r="G19" s="39" t="n"/>
      <c r="H19" s="39" t="n"/>
      <c r="I19" s="39" t="n">
        <v>100</v>
      </c>
      <c r="J19" s="39" t="n"/>
      <c r="K19" s="39" t="n"/>
      <c r="L19" s="39">
        <f>SUM(DadosDespesas35[[#This Row],[Transporte]:[Diversos]])</f>
        <v/>
      </c>
    </row>
    <row r="20" ht="31.5" customFormat="1" customHeight="1" s="6">
      <c r="B20" s="31" t="n">
        <v>46095</v>
      </c>
      <c r="C20" s="12" t="inlineStr">
        <is>
          <t>SESI/SENAI</t>
        </is>
      </c>
      <c r="D20" s="12" t="inlineStr">
        <is>
          <t>CENTRO AUTOMOTIVO GUARUMON</t>
        </is>
      </c>
      <c r="E20" s="16" t="inlineStr">
        <is>
          <t>NFC-E 72013</t>
        </is>
      </c>
      <c r="F20" s="39" t="n"/>
      <c r="G20" s="39" t="n">
        <v>246.22</v>
      </c>
      <c r="H20" s="39" t="n"/>
      <c r="I20" s="39" t="n"/>
      <c r="J20" s="39" t="n"/>
      <c r="K20" s="39" t="n"/>
      <c r="L20" s="39">
        <f>SUM(DadosDespesas35[[#This Row],[Transporte]:[Diversos]])</f>
        <v/>
      </c>
    </row>
    <row r="21" ht="20.1" customFormat="1" customHeight="1" s="6">
      <c r="A21" s="15" t="n"/>
      <c r="B21" s="31" t="n">
        <v>46097</v>
      </c>
      <c r="C21" s="12" t="inlineStr">
        <is>
          <t>SESI/SENAI</t>
        </is>
      </c>
      <c r="D21" s="12" t="inlineStr">
        <is>
          <t>REDE DE POSTOS</t>
        </is>
      </c>
      <c r="E21" s="16" t="inlineStr">
        <is>
          <t>NFC-E 5419</t>
        </is>
      </c>
      <c r="F21" s="39" t="n"/>
      <c r="G21" s="39" t="n">
        <v>160.47</v>
      </c>
      <c r="H21" s="39" t="n"/>
      <c r="I21" s="39" t="n"/>
      <c r="J21" s="39" t="n"/>
      <c r="K21" s="39" t="n"/>
      <c r="L21" s="39">
        <f>SUM(DadosDespesas35[[#This Row],[Transporte]:[Diversos]])</f>
        <v/>
      </c>
    </row>
    <row r="22" ht="31.5" customFormat="1" customHeight="1" s="6">
      <c r="B22" s="22" t="n">
        <v>46097</v>
      </c>
      <c r="C22" s="12" t="inlineStr">
        <is>
          <t>SESI/SENAI</t>
        </is>
      </c>
      <c r="D22" s="12" t="inlineStr">
        <is>
          <t>PANIFICADORA SÃO GERALDO</t>
        </is>
      </c>
      <c r="E22" s="16" t="inlineStr">
        <is>
          <t>NFC-E 17562941945791</t>
        </is>
      </c>
      <c r="F22" s="39" t="n"/>
      <c r="G22" s="39" t="n"/>
      <c r="H22" s="39" t="n">
        <v>41.9</v>
      </c>
      <c r="I22" s="39" t="n"/>
      <c r="J22" s="39" t="n"/>
      <c r="K22" s="39" t="n"/>
      <c r="L22" s="39">
        <f>SUM(DadosDespesas35[[#This Row],[Transporte]:[Diversos]])</f>
        <v/>
      </c>
    </row>
    <row r="23" ht="20.1" customFormat="1" customHeight="1" s="6">
      <c r="B23" s="31" t="n">
        <v>46098</v>
      </c>
      <c r="C23" s="12" t="inlineStr">
        <is>
          <t>SESI/SENAI</t>
        </is>
      </c>
      <c r="D23" s="19" t="inlineStr">
        <is>
          <t>AUTO POSTO TWINGO II</t>
        </is>
      </c>
      <c r="E23" s="16" t="inlineStr">
        <is>
          <t>NFC-E 96592</t>
        </is>
      </c>
      <c r="F23" s="39" t="n"/>
      <c r="G23" s="39" t="n"/>
      <c r="H23" s="39" t="n"/>
      <c r="I23" s="39" t="n"/>
      <c r="J23" s="39" t="n"/>
      <c r="K23" s="39" t="n"/>
      <c r="L23" s="39">
        <f>SUM(DadosDespesas35[[#This Row],[Transporte]:[Diversos]])</f>
        <v/>
      </c>
    </row>
    <row r="24" ht="15.75" customFormat="1" customHeight="1" s="6">
      <c r="B24" s="31" t="n">
        <v>46098</v>
      </c>
      <c r="C24" s="12" t="inlineStr">
        <is>
          <t>SESI/SENAI</t>
        </is>
      </c>
      <c r="D24" s="12" t="inlineStr">
        <is>
          <t xml:space="preserve">ARLINDO GAGLIARDI VIEIRA </t>
        </is>
      </c>
      <c r="E24" s="16" t="inlineStr">
        <is>
          <t>NFC-E 3860</t>
        </is>
      </c>
      <c r="F24" s="39" t="n"/>
      <c r="G24" s="39" t="n">
        <v>249</v>
      </c>
      <c r="H24" s="39" t="n"/>
      <c r="I24" s="39" t="n"/>
      <c r="J24" s="39" t="n"/>
      <c r="K24" s="39" t="n"/>
      <c r="L24" s="39">
        <f>SUM(DadosDespesas35[[#This Row],[Transporte]:[Diversos]])</f>
        <v/>
      </c>
    </row>
    <row r="25" ht="15.75" customFormat="1" customHeight="1" s="6">
      <c r="B25" s="31" t="n">
        <v>46099</v>
      </c>
      <c r="C25" s="12" t="inlineStr">
        <is>
          <t>SESI/SENAI</t>
        </is>
      </c>
      <c r="D25" s="19" t="inlineStr">
        <is>
          <t>SUPER MATIELO LTDA</t>
        </is>
      </c>
      <c r="E25" s="16" t="inlineStr">
        <is>
          <t>NFC-E 4307</t>
        </is>
      </c>
      <c r="F25" s="39" t="n"/>
      <c r="G25" s="39" t="n"/>
      <c r="H25" s="39" t="n">
        <v>18.15</v>
      </c>
      <c r="I25" s="39" t="n"/>
      <c r="J25" s="39" t="n"/>
      <c r="K25" s="39" t="n"/>
      <c r="L25" s="39">
        <f>SUM(DadosDespesas35[[#This Row],[Transporte]:[Diversos]])</f>
        <v/>
      </c>
    </row>
    <row r="26" ht="31.5" customFormat="1" customHeight="1" s="6">
      <c r="B26" s="31" t="n">
        <v>46099</v>
      </c>
      <c r="C26" s="12" t="inlineStr">
        <is>
          <t>SESI/SENAI</t>
        </is>
      </c>
      <c r="D26" s="19" t="inlineStr">
        <is>
          <t>LICIANO LUIS PERIPATO RESTAURANTE</t>
        </is>
      </c>
      <c r="E26" s="16" t="inlineStr">
        <is>
          <t>NFC-E 849</t>
        </is>
      </c>
      <c r="F26" s="39" t="n"/>
      <c r="G26" s="39" t="n"/>
      <c r="H26" s="39" t="n">
        <v>29.4</v>
      </c>
      <c r="I26" s="39" t="n"/>
      <c r="J26" s="39" t="n"/>
      <c r="K26" s="39" t="n"/>
      <c r="L26" s="39">
        <f>SUM(DadosDespesas35[[#This Row],[Transporte]:[Diversos]])</f>
        <v/>
      </c>
    </row>
    <row r="27" ht="20.1" customFormat="1" customHeight="1" s="6">
      <c r="B27" s="31" t="n">
        <v>46099</v>
      </c>
      <c r="C27" s="12" t="inlineStr">
        <is>
          <t>SESI/SENAI</t>
        </is>
      </c>
      <c r="D27" s="12" t="inlineStr">
        <is>
          <t>AUTO POSTO FENIX</t>
        </is>
      </c>
      <c r="E27" s="16" t="inlineStr">
        <is>
          <t>NFC-E 106073</t>
        </is>
      </c>
      <c r="F27" s="39" t="n"/>
      <c r="G27" s="39" t="n">
        <v>189.09</v>
      </c>
      <c r="H27" s="39" t="n"/>
      <c r="I27" s="39" t="n"/>
      <c r="J27" s="39" t="n"/>
      <c r="K27" s="39" t="n"/>
      <c r="L27" s="39">
        <f>SUM(DadosDespesas35[[#This Row],[Transporte]:[Diversos]])</f>
        <v/>
      </c>
    </row>
    <row r="28" ht="15.75" customFormat="1" customHeight="1" s="6">
      <c r="B28" s="31" t="n">
        <v>46101</v>
      </c>
      <c r="C28" s="12" t="inlineStr">
        <is>
          <t>SESI/SENAI</t>
        </is>
      </c>
      <c r="D28" s="12" t="inlineStr">
        <is>
          <t>MCDONALDLS</t>
        </is>
      </c>
      <c r="E28" s="16" t="inlineStr">
        <is>
          <t>NFC-E 57878</t>
        </is>
      </c>
      <c r="F28" s="39" t="n"/>
      <c r="G28" s="39" t="n"/>
      <c r="H28" s="39" t="n">
        <v>53</v>
      </c>
      <c r="I28" s="39" t="n"/>
      <c r="J28" s="39" t="n"/>
      <c r="K28" s="39" t="n"/>
      <c r="L28" s="39">
        <f>SUM(DadosDespesas35[[#This Row],[Transporte]:[Diversos]])</f>
        <v/>
      </c>
    </row>
    <row r="29" ht="20.1" customFormat="1" customHeight="1" s="6">
      <c r="B29" s="22" t="n">
        <v>46101</v>
      </c>
      <c r="C29" s="12" t="inlineStr">
        <is>
          <t>SESI/SENAI</t>
        </is>
      </c>
      <c r="D29" s="12" t="inlineStr">
        <is>
          <t>AUTO POSTO NOVO CAUA</t>
        </is>
      </c>
      <c r="E29" s="16" t="inlineStr">
        <is>
          <t>NFC-E 39835</t>
        </is>
      </c>
      <c r="F29" s="39" t="n"/>
      <c r="G29" s="39" t="n">
        <v>100</v>
      </c>
      <c r="H29" s="39" t="n"/>
      <c r="I29" s="39" t="n"/>
      <c r="J29" s="39" t="n"/>
      <c r="K29" s="39" t="n"/>
      <c r="L29" s="39">
        <f>SUM(DadosDespesas35[[#This Row],[Transporte]:[Diversos]])</f>
        <v/>
      </c>
    </row>
    <row r="30" ht="31.5" customFormat="1" customHeight="1" s="6">
      <c r="B30" s="31" t="n">
        <v>46101</v>
      </c>
      <c r="C30" s="12" t="inlineStr">
        <is>
          <t>SESI/SENAI</t>
        </is>
      </c>
      <c r="D30" s="12" t="inlineStr">
        <is>
          <t>CENTRO DE SERVIÇOS FRANGO ASSADO</t>
        </is>
      </c>
      <c r="E30" s="16" t="inlineStr">
        <is>
          <t>NFC-E 158423</t>
        </is>
      </c>
      <c r="F30" s="39" t="n"/>
      <c r="G30" s="39" t="n">
        <v>100</v>
      </c>
      <c r="H30" s="39" t="n"/>
      <c r="I30" s="39" t="n"/>
      <c r="J30" s="39" t="n"/>
      <c r="K30" s="39" t="n"/>
      <c r="L30" s="39">
        <f>SUM(DadosDespesas35[[#This Row],[Transporte]:[Diversos]])</f>
        <v/>
      </c>
    </row>
    <row r="31" ht="20.1" customFormat="1" customHeight="1" s="6">
      <c r="B31" s="31" t="n">
        <v>46104</v>
      </c>
      <c r="C31" s="12" t="inlineStr">
        <is>
          <t>SESI/SENAI</t>
        </is>
      </c>
      <c r="D31" s="12" t="inlineStr">
        <is>
          <t>REFEIÇÃO</t>
        </is>
      </c>
      <c r="E31" s="16" t="inlineStr">
        <is>
          <t>NFC-E 169</t>
        </is>
      </c>
      <c r="F31" s="39" t="n"/>
      <c r="G31" s="39" t="n"/>
      <c r="H31" s="39" t="n">
        <v>53.62</v>
      </c>
      <c r="I31" s="39" t="n"/>
      <c r="J31" s="39" t="n"/>
      <c r="K31" s="39" t="n"/>
      <c r="L31" s="39">
        <f>SUM(DadosDespesas35[[#This Row],[Transporte]:[Diversos]])</f>
        <v/>
      </c>
    </row>
    <row r="32" ht="15.75" customFormat="1" customHeight="1" s="6">
      <c r="B32" s="31" t="n">
        <v>46106</v>
      </c>
      <c r="C32" s="12" t="inlineStr">
        <is>
          <t>SESI/SENAI</t>
        </is>
      </c>
      <c r="D32" s="12" t="inlineStr">
        <is>
          <t>HOTEL REVITALLE</t>
        </is>
      </c>
      <c r="E32" s="16" t="inlineStr">
        <is>
          <t>NFC-E 55016</t>
        </is>
      </c>
      <c r="F32" s="39" t="n"/>
      <c r="G32" s="39" t="n">
        <v>159</v>
      </c>
      <c r="H32" s="39" t="n"/>
      <c r="I32" s="39" t="n"/>
      <c r="J32" s="39" t="n"/>
      <c r="K32" s="39" t="n"/>
      <c r="L32" s="39">
        <f>SUM(DadosDespesas35[[#This Row],[Transporte]:[Diversos]])</f>
        <v/>
      </c>
    </row>
    <row r="33" ht="15.75" customFormat="1" customHeight="1" s="6">
      <c r="B33" s="22" t="inlineStr">
        <is>
          <t>18/03/20526</t>
        </is>
      </c>
      <c r="C33" s="12" t="inlineStr">
        <is>
          <t>SESI/SENAI</t>
        </is>
      </c>
      <c r="D33" s="12" t="inlineStr">
        <is>
          <t>HOTEL BANDEIRANTES</t>
        </is>
      </c>
      <c r="E33" s="16" t="inlineStr">
        <is>
          <t>NFC-E 0666</t>
        </is>
      </c>
      <c r="F33" s="39" t="n"/>
      <c r="G33" s="39" t="n"/>
      <c r="H33" s="39" t="n"/>
      <c r="I33" s="39" t="n">
        <v>100</v>
      </c>
      <c r="J33" s="39" t="n"/>
      <c r="K33" s="39" t="n"/>
      <c r="L33" s="39">
        <f>SUM(DadosDespesas35[[#This Row],[Transporte]:[Diversos]])</f>
        <v/>
      </c>
    </row>
    <row r="34" ht="30" customHeight="1" thickBot="1">
      <c r="B34" s="18" t="inlineStr">
        <is>
          <t>Total</t>
        </is>
      </c>
      <c r="C34" s="18" t="n"/>
      <c r="D34" s="18" t="n"/>
      <c r="E34" s="18">
        <f>SUBTOTAL(101,DadosDespesas35[Documento])</f>
        <v/>
      </c>
      <c r="F34" s="40">
        <f>SUBTOTAL(109,DadosDespesas35[Transporte])</f>
        <v/>
      </c>
      <c r="G34" s="40">
        <f>SUBTOTAL(109,DadosDespesas35[Combustível])</f>
        <v/>
      </c>
      <c r="H34" s="40">
        <f>SUBTOTAL(109,DadosDespesas35[Refeições])</f>
        <v/>
      </c>
      <c r="I34" s="40">
        <f>SUBTOTAL(109,DadosDespesas35[Hospedagem])</f>
        <v/>
      </c>
      <c r="J34" s="40">
        <f>SUBTOTAL(109,DadosDespesas35[Materiais])</f>
        <v/>
      </c>
      <c r="K34" s="40">
        <f>SUBTOTAL(109,DadosDespesas35[Diversos])</f>
        <v/>
      </c>
      <c r="L34" s="40">
        <f>SUBTOTAL(109,DadosDespesas35[Total])</f>
        <v/>
      </c>
    </row>
    <row r="35" ht="30" customHeight="1">
      <c r="C35" s="1" t="n"/>
      <c r="D35" s="1" t="n"/>
      <c r="E35" s="1" t="n"/>
      <c r="F35" s="1" t="n"/>
      <c r="G35" s="1" t="n"/>
      <c r="H35" s="1" t="n"/>
      <c r="I35" s="1" t="n"/>
      <c r="K35" s="10" t="inlineStr">
        <is>
          <t>SUBTOTAL</t>
        </is>
      </c>
      <c r="L35" s="41">
        <f>DadosDespesas35[[#Totals],[Total]]</f>
        <v/>
      </c>
    </row>
    <row r="36" ht="30" customHeight="1" thickBot="1">
      <c r="B36" s="4" t="inlineStr">
        <is>
          <t>Aprovado:</t>
        </is>
      </c>
      <c r="C36" s="37" t="n"/>
      <c r="D36" s="36" t="n"/>
      <c r="E36" s="36" t="n"/>
      <c r="F36" s="11" t="inlineStr">
        <is>
          <t xml:space="preserve">Anotações: </t>
        </is>
      </c>
      <c r="G36" s="35" t="n"/>
      <c r="H36" s="36" t="n"/>
      <c r="I36" s="36" t="n"/>
      <c r="K36" s="10" t="inlineStr">
        <is>
          <t>PAGAMENTOS</t>
        </is>
      </c>
      <c r="L36" s="42" t="n"/>
    </row>
    <row r="37" ht="30" customHeight="1" thickTop="1">
      <c r="C37" s="37" t="n"/>
      <c r="D37" s="36" t="n"/>
      <c r="E37" s="36" t="n"/>
      <c r="F37" s="1" t="n"/>
      <c r="G37" s="37" t="n"/>
      <c r="H37" s="36" t="n"/>
      <c r="I37" s="36" t="n"/>
      <c r="K37" s="10" t="inlineStr">
        <is>
          <t>TOTAL</t>
        </is>
      </c>
      <c r="L37" s="43">
        <f>Subtotal-Adiantamentos</f>
        <v/>
      </c>
    </row>
  </sheetData>
  <mergeCells count="12">
    <mergeCell ref="F3:G3"/>
    <mergeCell ref="C36:E36"/>
    <mergeCell ref="G36:I36"/>
    <mergeCell ref="C6:D6"/>
    <mergeCell ref="C37:E37"/>
    <mergeCell ref="G37:I37"/>
    <mergeCell ref="C5:D5"/>
    <mergeCell ref="G5:H5"/>
    <mergeCell ref="K5:L5"/>
    <mergeCell ref="G6:H6"/>
    <mergeCell ref="K6:L6"/>
    <mergeCell ref="C3:D3"/>
  </mergeCells>
  <dataValidations count="44">
    <dataValidation sqref="A1" showDropDown="0" showInputMessage="1" showErrorMessage="1" allowBlank="1" prompt="Controle as despesas nesta planilha do Relatório de Despesas. Insira valores em várias categorias de despesas nas células B3 a K6 e na tabela Dados de Despesas."/>
    <dataValidation sqref="L2" showDropDown="0" showInputMessage="1" showErrorMessage="1" allowBlank="1" prompt="O relatório é apenas para uso do escritório"/>
    <dataValidation sqref="B1" showDropDown="0" showInputMessage="1" showErrorMessage="1" allowBlank="1" prompt="O título Relatório de Despesas está nesta célula"/>
    <dataValidation sqref="B3" showDropDown="0" showInputMessage="1" showErrorMessage="1" allowBlank="1" prompt="Insira a finalidade das despesas na célula à direita"/>
    <dataValidation sqref="E3" showDropDown="0" showInputMessage="1" showErrorMessage="1" allowBlank="1" prompt="Insira o número da declaração na célula à direita."/>
    <dataValidation sqref="B4" showDropDown="0" showInputMessage="1" showErrorMessage="1" allowBlank="1" prompt="Inserir as informações dos funcionários nas células abaixo"/>
    <dataValidation sqref="C5:D5" showDropDown="0" showInputMessage="1" showErrorMessage="1" allowBlank="1" prompt="Insira o nome do funcionário nesta célula"/>
    <dataValidation sqref="C6:D6" showDropDown="0" showInputMessage="1" showErrorMessage="1" allowBlank="1" prompt="Insira o departamento do funcionário nesta célula"/>
    <dataValidation sqref="G5:H5" showDropDown="0" showInputMessage="1" showErrorMessage="1" allowBlank="1" prompt="Insira o cargo do funcionário nesta célula"/>
    <dataValidation sqref="G6:H6" showDropDown="0" showInputMessage="1" showErrorMessage="1" allowBlank="1" prompt="Insira o nome do gerente nesta célula"/>
    <dataValidation sqref="K5:L5" showDropDown="0" showInputMessage="1" showErrorMessage="1" allowBlank="1" prompt="Insira o CPF nesta célula"/>
    <dataValidation sqref="K6:L6" showDropDown="0" showInputMessage="1" showErrorMessage="1" allowBlank="1" prompt="Insira a ID do funcionário nesta célula"/>
    <dataValidation sqref="H3" showDropDown="0" showInputMessage="1" showErrorMessage="1" allowBlank="1" prompt="O período de pagamento é atualizado automaticamente com base nas entradas na tabela Dados de Despesas"/>
    <dataValidation sqref="J3" showDropDown="0" showInputMessage="1" showErrorMessage="1" allowBlank="1" prompt="O período inicial para este relatório de despesas está nessa célula e é automaticamente determinado pelas entradas na tabela Dados de Despesas"/>
    <dataValidation sqref="B8" showDropDown="0" showInputMessage="1" showErrorMessage="1" allowBlank="1" prompt="Insira a data nesta coluna sob este título"/>
    <dataValidation sqref="C8" showDropDown="0" showInputMessage="1" showErrorMessage="1" allowBlank="1" prompt="Insira a conta na coluna sob este cabeçalho"/>
    <dataValidation sqref="D8" showDropDown="0" showInputMessage="1" showErrorMessage="1" allowBlank="1" prompt="Insira a descrição na coluna sob este cabeçalho"/>
    <dataValidation sqref="E8" showDropDown="0" showInputMessage="1" showErrorMessage="1" allowBlank="1" prompt="Insira as despesas de hotel na coluna sob este cabeçalho"/>
    <dataValidation sqref="F8" showDropDown="0" showInputMessage="1" showErrorMessage="1" allowBlank="1" prompt="Insira as despesas de transporte na coluna sob este cabeçalho"/>
    <dataValidation sqref="G8" showDropDown="0" showInputMessage="1" showErrorMessage="1" allowBlank="1" prompt="Insira as despesas de combustível na coluna sob este cabeçalho"/>
    <dataValidation sqref="H8" showDropDown="0" showInputMessage="1" showErrorMessage="1" allowBlank="1" prompt="Insira as despesas de refeições na coluna sob este cabeçalho"/>
    <dataValidation sqref="I8" showDropDown="0" showInputMessage="1" showErrorMessage="1" allowBlank="1" prompt="Insira as despesas de telefone na coluna sob este cabeçalho"/>
    <dataValidation sqref="J8" showDropDown="0" showInputMessage="1" showErrorMessage="1" allowBlank="1" prompt="Insira as despesas de entretenimento na coluna sob este cabeçalho"/>
    <dataValidation sqref="K8" showDropDown="0" showInputMessage="1" showErrorMessage="1" allowBlank="1" prompt="Insira as despesas diversas nesta coluna neste título"/>
    <dataValidation sqref="L8" showDropDown="0" showInputMessage="1" showErrorMessage="1" allowBlank="1" prompt="O total de despesas é automaticamente calculado nesta coluna sob este título para cada data"/>
    <dataValidation sqref="B36" showDropDown="0" showInputMessage="1" showErrorMessage="1" allowBlank="1" prompt="Insira comentários nas células à direita"/>
    <dataValidation sqref="C36:E37" showDropDown="0" showInputMessage="1" showErrorMessage="1" allowBlank="1" prompt="Insira a assinatura nesta célula"/>
    <dataValidation sqref="F36" showDropDown="0" showInputMessage="1" showErrorMessage="1" allowBlank="1" prompt="Insira Anotações nas células à direita"/>
    <dataValidation sqref="G36:I37" showDropDown="0" showInputMessage="1" showErrorMessage="1" allowBlank="1" prompt="Inserir Anotações nesta célula"/>
    <dataValidation sqref="L35" showDropDown="0" showInputMessage="1" showErrorMessage="1" allowBlank="1" prompt="Subtotal calculado automaticamente"/>
    <dataValidation sqref="L36" showDropDown="0" showInputMessage="1" showErrorMessage="1" allowBlank="1" prompt="Insira os Adiantamentos nesta célula"/>
    <dataValidation sqref="L37" showDropDown="0" showInputMessage="1" showErrorMessage="1" allowBlank="1" prompt="Total automaticamente calculado"/>
    <dataValidation sqref="B5" showDropDown="0" showInputMessage="1" showErrorMessage="1" allowBlank="1" prompt="Insira o nome do funcionário na célula à direita"/>
    <dataValidation sqref="B6" showDropDown="0" showInputMessage="1" showErrorMessage="1" allowBlank="1" prompt="Insira o departamento do funcionário na célula à direita"/>
    <dataValidation sqref="F5" showDropDown="0" showInputMessage="1" showErrorMessage="1" allowBlank="1" prompt="Insira o cargo do funcionário na célula à direita"/>
    <dataValidation sqref="F6" showDropDown="0" showInputMessage="1" showErrorMessage="1" allowBlank="1" prompt="Insira o nome do gerente na célula à direita"/>
    <dataValidation sqref="J6" showDropDown="0" showInputMessage="1" showErrorMessage="1" allowBlank="1" prompt="Insira a ID do funcionário na célula à direita"/>
    <dataValidation sqref="J5" showDropDown="0" showInputMessage="1" showErrorMessage="1" allowBlank="1" prompt="Insira o CPF na célula à direita"/>
    <dataValidation sqref="C3:D3" showDropDown="0" showInputMessage="1" showErrorMessage="1" allowBlank="1" prompt="Insira a finalidade do relatório de despesas nesta célula"/>
    <dataValidation sqref="F3:G3" showDropDown="0" showInputMessage="1" showErrorMessage="1" allowBlank="1" prompt="Insira o número da declaração para o relatório de despesas nesta célula"/>
    <dataValidation sqref="L3" showDropDown="0" showInputMessage="1" showErrorMessage="1" allowBlank="1" prompt="O período final para este relatório de despesas está nessa célula e é automaticamente determinado pelas entradas na tabela Dados de Despesas"/>
    <dataValidation sqref="L1" showDropDown="0" showInputMessage="0" showErrorMessage="1" allowBlank="1" prompt="O relatório é apenas para uso do escritório"/>
    <dataValidation sqref="A2" showDropDown="0" showInputMessage="1" showErrorMessage="1" allowBlank="1" prompt="Controle as despesas nesta planilha do Relatório de Despesas. Insira valores em várias categorias de despesas nas células B3 a K6 e na tabela Dados de Despesas"/>
    <dataValidation sqref="B2" showDropDown="0" showInputMessage="0" showErrorMessage="1" allowBlank="1" prompt="O título Relatório de Despesas está nesta célula"/>
  </dataValidations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67" fitToHeight="0" blackAndWhite="1" horizontalDpi="300" verticalDpi="300"/>
  <headerFooter differentFirst="1">
    <oddHeader/>
    <oddFooter>&amp;L&amp;C&amp;R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tabColor theme="4"/>
    <outlinePr summaryBelow="1" summaryRight="1"/>
    <pageSetUpPr autoPageBreaks="0" fitToPage="1"/>
  </sheetPr>
  <dimension ref="A1:L49"/>
  <sheetViews>
    <sheetView showGridLines="0" tabSelected="1" zoomScale="70" zoomScaleNormal="70" workbookViewId="0">
      <selection activeCell="E18" sqref="E18"/>
    </sheetView>
  </sheetViews>
  <sheetFormatPr baseColWidth="8" defaultRowHeight="30" customHeight="1"/>
  <cols>
    <col width="2.109375" customWidth="1" min="1" max="1"/>
    <col width="11.33203125" customWidth="1" min="2" max="2"/>
    <col width="12.33203125" customWidth="1" min="3" max="3"/>
    <col width="33.33203125" bestFit="1" customWidth="1" min="4" max="4"/>
    <col width="22.5546875" customWidth="1" min="5" max="5"/>
    <col width="12.6640625" customWidth="1" min="6" max="7"/>
    <col width="13.6640625" customWidth="1" min="8" max="8"/>
    <col width="12.6640625" customWidth="1" min="9" max="9"/>
    <col width="14.6640625" customWidth="1" min="10" max="10"/>
    <col width="12.6640625" customWidth="1" min="11" max="11"/>
    <col width="13.88671875" bestFit="1" customWidth="1" min="12" max="12"/>
    <col width="2.6640625" customWidth="1" min="13" max="13"/>
  </cols>
  <sheetData>
    <row r="1" ht="56.25" customHeight="1">
      <c r="B1" s="7" t="n"/>
      <c r="L1" s="8" t="n"/>
    </row>
    <row r="2" ht="13.5" customHeight="1">
      <c r="B2" s="7" t="n"/>
      <c r="L2" s="8" t="n"/>
    </row>
    <row r="3" ht="32.25" customHeight="1">
      <c r="B3" s="4" t="inlineStr">
        <is>
          <t>Finalidade:</t>
        </is>
      </c>
      <c r="C3" s="35" t="inlineStr">
        <is>
          <t>Reembolso de Pagamentos e Despesa</t>
        </is>
      </c>
      <c r="D3" s="36" t="n"/>
      <c r="E3" s="4" t="inlineStr">
        <is>
          <t>Número do demonstrativo:</t>
        </is>
      </c>
      <c r="F3" s="35" t="inlineStr">
        <is>
          <t>RDD-</t>
        </is>
      </c>
      <c r="G3" s="36" t="n"/>
      <c r="H3" s="4" t="inlineStr">
        <is>
          <t>Período de pagamento</t>
        </is>
      </c>
      <c r="I3" s="3" t="inlineStr">
        <is>
          <t>De:</t>
        </is>
      </c>
      <c r="J3" s="5" t="n"/>
      <c r="K3" s="3" t="inlineStr">
        <is>
          <t>Para:</t>
        </is>
      </c>
      <c r="L3" s="13" t="n"/>
    </row>
    <row r="4" ht="22.5" customHeight="1">
      <c r="B4" s="9" t="inlineStr">
        <is>
          <t>Informações de funcionários:</t>
        </is>
      </c>
      <c r="J4" s="24" t="inlineStr">
        <is>
          <t>VNC</t>
        </is>
      </c>
      <c r="K4" s="38" t="inlineStr">
        <is>
          <t>5229 &gt;&gt; Mastercard Black</t>
        </is>
      </c>
      <c r="L4" s="36" t="n"/>
    </row>
    <row r="5" ht="19.5" customHeight="1">
      <c r="B5" s="3" t="inlineStr">
        <is>
          <t>Nome</t>
        </is>
      </c>
      <c r="C5" s="35" t="n"/>
      <c r="D5" s="36" t="n"/>
      <c r="F5" s="3" t="inlineStr">
        <is>
          <t>Cargo</t>
        </is>
      </c>
      <c r="G5" s="35" t="inlineStr">
        <is>
          <t>Prestador de Serviços</t>
        </is>
      </c>
      <c r="H5" s="36" t="n"/>
      <c r="J5" s="3" t="inlineStr">
        <is>
          <t>CPF</t>
        </is>
      </c>
      <c r="K5" s="35" t="n"/>
      <c r="L5" s="36" t="n"/>
    </row>
    <row r="6" ht="21" customHeight="1">
      <c r="B6" s="3" t="inlineStr">
        <is>
          <t>Departamento</t>
        </is>
      </c>
      <c r="C6" s="35" t="inlineStr">
        <is>
          <t>Projetos</t>
        </is>
      </c>
      <c r="D6" s="36" t="n"/>
      <c r="F6" s="3" t="inlineStr">
        <is>
          <t>Gerente</t>
        </is>
      </c>
      <c r="G6" s="37" t="inlineStr">
        <is>
          <t>Roberto Almeida Blanco</t>
        </is>
      </c>
      <c r="H6" s="36" t="n"/>
      <c r="J6" s="3" t="inlineStr">
        <is>
          <t>Obra</t>
        </is>
      </c>
      <c r="K6" s="35" t="n"/>
      <c r="L6" s="36" t="n"/>
    </row>
    <row r="7" ht="5.25" customHeight="1"/>
    <row r="8" ht="32.25" customFormat="1" customHeight="1" s="6">
      <c r="B8" s="2" t="inlineStr">
        <is>
          <t>Data</t>
        </is>
      </c>
      <c r="C8" s="2" t="inlineStr">
        <is>
          <t>Conta</t>
        </is>
      </c>
      <c r="D8" s="2" t="inlineStr">
        <is>
          <t>Descrição</t>
        </is>
      </c>
      <c r="E8" s="2" t="inlineStr">
        <is>
          <t>Documento</t>
        </is>
      </c>
      <c r="F8" s="2" t="inlineStr">
        <is>
          <t>Transporte</t>
        </is>
      </c>
      <c r="G8" s="2" t="inlineStr">
        <is>
          <t>Combustível</t>
        </is>
      </c>
      <c r="H8" s="2" t="inlineStr">
        <is>
          <t>Refeições</t>
        </is>
      </c>
      <c r="I8" s="2" t="inlineStr">
        <is>
          <t>Hospedagem</t>
        </is>
      </c>
      <c r="J8" s="2" t="inlineStr">
        <is>
          <t>Materiais</t>
        </is>
      </c>
      <c r="K8" s="2" t="inlineStr">
        <is>
          <t>Diversos</t>
        </is>
      </c>
      <c r="L8" s="2" t="inlineStr">
        <is>
          <t>Total</t>
        </is>
      </c>
    </row>
    <row r="9" ht="20.1" customFormat="1" customHeight="1" s="6">
      <c r="B9" s="31" t="n"/>
      <c r="C9" s="12" t="n"/>
      <c r="D9" s="12" t="n"/>
      <c r="E9" s="17" t="n"/>
      <c r="F9" s="39" t="n"/>
      <c r="G9" s="39" t="n"/>
      <c r="H9" s="39" t="n"/>
      <c r="I9" s="39" t="n"/>
      <c r="J9" s="39" t="n"/>
      <c r="K9" s="39" t="n"/>
      <c r="L9" s="39">
        <f>SUM(F9:K9)</f>
        <v/>
      </c>
    </row>
    <row r="10" ht="20.1" customFormat="1" customHeight="1" s="6">
      <c r="B10" s="31" t="n"/>
      <c r="C10" s="12" t="n"/>
      <c r="D10" s="12" t="n"/>
      <c r="E10" s="17" t="n"/>
      <c r="F10" s="39" t="n"/>
      <c r="G10" s="39" t="n"/>
      <c r="H10" s="39" t="n"/>
      <c r="I10" s="39" t="n"/>
      <c r="J10" s="39" t="n"/>
      <c r="K10" s="39" t="n"/>
      <c r="L10" s="39">
        <f>SUM(F10:K10)</f>
        <v/>
      </c>
    </row>
    <row r="11" ht="15.75" customFormat="1" customHeight="1" s="6">
      <c r="B11" s="31" t="n"/>
      <c r="C11" s="12" t="n"/>
      <c r="D11" s="12" t="n"/>
      <c r="E11" s="17" t="n"/>
      <c r="F11" s="39" t="n"/>
      <c r="G11" s="39" t="n"/>
      <c r="H11" s="39" t="n"/>
      <c r="I11" s="39" t="n"/>
      <c r="J11" s="39" t="n"/>
      <c r="K11" s="39" t="n"/>
      <c r="L11" s="39">
        <f>SUM(F11:K11)</f>
        <v/>
      </c>
    </row>
    <row r="12" ht="15.75" customFormat="1" customHeight="1" s="6">
      <c r="B12" s="31" t="n"/>
      <c r="C12" s="12" t="n"/>
      <c r="D12" s="12" t="n"/>
      <c r="E12" s="17" t="n"/>
      <c r="F12" s="39" t="n"/>
      <c r="G12" s="39" t="n"/>
      <c r="H12" s="39" t="n"/>
      <c r="I12" s="39" t="n"/>
      <c r="J12" s="39" t="n"/>
      <c r="K12" s="39" t="n"/>
      <c r="L12" s="39">
        <f>SUM(F12:K12)</f>
        <v/>
      </c>
    </row>
    <row r="13" ht="15.75" customFormat="1" customHeight="1" s="6">
      <c r="B13" s="31" t="n"/>
      <c r="C13" s="12" t="n"/>
      <c r="D13" s="12" t="n"/>
      <c r="E13" s="17" t="n"/>
      <c r="F13" s="39" t="n"/>
      <c r="G13" s="39" t="n"/>
      <c r="H13" s="39" t="n"/>
      <c r="I13" s="39" t="n"/>
      <c r="J13" s="39" t="n"/>
      <c r="K13" s="39" t="n"/>
      <c r="L13" s="39">
        <f>SUM(F13:K13)</f>
        <v/>
      </c>
    </row>
    <row r="14" ht="20.1" customFormat="1" customHeight="1" s="6">
      <c r="B14" s="31" t="n"/>
      <c r="C14" s="12" t="n"/>
      <c r="D14" s="12" t="n"/>
      <c r="E14" s="17" t="n"/>
      <c r="F14" s="39" t="n"/>
      <c r="G14" s="39" t="n"/>
      <c r="H14" s="39" t="n"/>
      <c r="I14" s="39" t="n"/>
      <c r="J14" s="39" t="n"/>
      <c r="K14" s="39" t="n"/>
      <c r="L14" s="39">
        <f>SUM(F14:K14)</f>
        <v/>
      </c>
    </row>
    <row r="15" ht="20.1" customFormat="1" customHeight="1" s="6">
      <c r="B15" s="31" t="n"/>
      <c r="C15" s="32" t="n"/>
      <c r="D15" s="32" t="n"/>
      <c r="E15" s="33" t="n"/>
      <c r="F15" s="39" t="n"/>
      <c r="G15" s="39" t="n"/>
      <c r="H15" s="39" t="n"/>
      <c r="I15" s="39" t="n"/>
      <c r="J15" s="39" t="n"/>
      <c r="K15" s="39" t="n"/>
      <c r="L15" s="39">
        <f>SUM(F15:K15)</f>
        <v/>
      </c>
    </row>
    <row r="16" ht="20.1" customFormat="1" customHeight="1" s="6">
      <c r="B16" s="31" t="n"/>
      <c r="C16" s="32" t="n"/>
      <c r="D16" s="32" t="n"/>
      <c r="E16" s="33" t="n"/>
      <c r="F16" s="39" t="n"/>
      <c r="G16" s="39" t="n"/>
      <c r="H16" s="39" t="n"/>
      <c r="I16" s="39" t="n"/>
      <c r="J16" s="39" t="n"/>
      <c r="K16" s="39" t="n"/>
      <c r="L16" s="39">
        <f>SUM(F16:K16)</f>
        <v/>
      </c>
    </row>
    <row r="17" ht="20.1" customFormat="1" customHeight="1" s="6">
      <c r="B17" s="31" t="n"/>
      <c r="C17" s="12" t="n"/>
      <c r="D17" s="12" t="n"/>
      <c r="E17" s="17" t="n"/>
      <c r="F17" s="39" t="n"/>
      <c r="G17" s="39" t="n"/>
      <c r="H17" s="39" t="n"/>
      <c r="I17" s="39" t="n"/>
      <c r="J17" s="39" t="n"/>
      <c r="K17" s="39" t="n"/>
      <c r="L17" s="39">
        <f>SUM(F17:K17)</f>
        <v/>
      </c>
    </row>
    <row r="18" ht="20.1" customFormat="1" customHeight="1" s="6">
      <c r="B18" s="31" t="n"/>
      <c r="C18" s="12" t="n"/>
      <c r="D18" s="12" t="n"/>
      <c r="E18" s="17" t="n"/>
      <c r="F18" s="39" t="n"/>
      <c r="G18" s="39" t="n"/>
      <c r="H18" s="39" t="n"/>
      <c r="I18" s="39" t="n"/>
      <c r="J18" s="39" t="n"/>
      <c r="K18" s="39" t="n"/>
      <c r="L18" s="39">
        <f>SUM(F18:K18)</f>
        <v/>
      </c>
    </row>
    <row r="19" ht="20.1" customFormat="1" customHeight="1" s="6">
      <c r="B19" s="31" t="n"/>
      <c r="C19" s="12" t="n"/>
      <c r="D19" s="12" t="n"/>
      <c r="E19" s="17" t="n"/>
      <c r="F19" s="39" t="n"/>
      <c r="G19" s="39" t="n"/>
      <c r="H19" s="39" t="n"/>
      <c r="I19" s="39" t="n"/>
      <c r="J19" s="39" t="n"/>
      <c r="K19" s="39" t="n"/>
      <c r="L19" s="39">
        <f>SUM(F19:K19)</f>
        <v/>
      </c>
    </row>
    <row r="20" ht="20.1" customFormat="1" customHeight="1" s="6">
      <c r="B20" s="31" t="n"/>
      <c r="C20" s="12" t="n"/>
      <c r="D20" s="12" t="n"/>
      <c r="E20" s="17" t="n"/>
      <c r="F20" s="39" t="n"/>
      <c r="G20" s="39" t="n"/>
      <c r="H20" s="39" t="n"/>
      <c r="I20" s="39" t="n"/>
      <c r="J20" s="39" t="n"/>
      <c r="K20" s="39" t="n"/>
      <c r="L20" s="39">
        <f>SUM(F20:K20)</f>
        <v/>
      </c>
    </row>
    <row r="21" ht="20.1" customFormat="1" customHeight="1" s="6">
      <c r="B21" s="31" t="n"/>
      <c r="C21" s="12" t="n"/>
      <c r="D21" s="12" t="n"/>
      <c r="E21" s="17" t="n"/>
      <c r="F21" s="39" t="n"/>
      <c r="G21" s="39" t="n"/>
      <c r="H21" s="39" t="n"/>
      <c r="I21" s="39" t="n"/>
      <c r="J21" s="39" t="n"/>
      <c r="K21" s="39" t="n"/>
      <c r="L21" s="39">
        <f>SUM(F21:K21)</f>
        <v/>
      </c>
    </row>
    <row r="22" ht="20.1" customFormat="1" customHeight="1" s="6">
      <c r="B22" s="31" t="n"/>
      <c r="C22" s="12" t="n"/>
      <c r="D22" s="12" t="n"/>
      <c r="E22" s="17" t="n"/>
      <c r="F22" s="39" t="n"/>
      <c r="G22" s="39" t="n"/>
      <c r="H22" s="39" t="n"/>
      <c r="I22" s="39" t="n"/>
      <c r="J22" s="39" t="n"/>
      <c r="K22" s="39" t="n"/>
      <c r="L22" s="39">
        <f>SUM(F22:K22)</f>
        <v/>
      </c>
    </row>
    <row r="23" ht="20.1" customFormat="1" customHeight="1" s="6">
      <c r="B23" s="31" t="n"/>
      <c r="C23" s="12" t="n"/>
      <c r="D23" s="12" t="n"/>
      <c r="E23" s="17" t="n"/>
      <c r="F23" s="39" t="n"/>
      <c r="G23" s="39" t="n"/>
      <c r="H23" s="39" t="n"/>
      <c r="I23" s="39" t="n"/>
      <c r="J23" s="39" t="n"/>
      <c r="K23" s="39" t="n"/>
      <c r="L23" s="39">
        <f>SUM(F23:K23)</f>
        <v/>
      </c>
    </row>
    <row r="24" ht="20.1" customFormat="1" customHeight="1" s="6">
      <c r="B24" s="31" t="n"/>
      <c r="C24" s="12" t="n"/>
      <c r="D24" s="12" t="n"/>
      <c r="E24" s="17" t="n"/>
      <c r="F24" s="39" t="n"/>
      <c r="G24" s="39" t="n"/>
      <c r="H24" s="39" t="n"/>
      <c r="I24" s="39" t="n"/>
      <c r="J24" s="39" t="n"/>
      <c r="K24" s="39" t="n"/>
      <c r="L24" s="39">
        <f>SUM(F24:K24)</f>
        <v/>
      </c>
    </row>
    <row r="25" ht="20.1" customFormat="1" customHeight="1" s="6">
      <c r="B25" s="22" t="n"/>
      <c r="C25" s="14" t="n"/>
      <c r="D25" s="12" t="n"/>
      <c r="E25" s="17" t="n"/>
      <c r="F25" s="39" t="n"/>
      <c r="G25" s="39" t="n"/>
      <c r="H25" s="39" t="n"/>
      <c r="I25" s="39" t="n"/>
      <c r="J25" s="39" t="n"/>
      <c r="K25" s="39" t="n"/>
      <c r="L25" s="39">
        <f>SUM(F25:K25)</f>
        <v/>
      </c>
    </row>
    <row r="26" ht="20.1" customFormat="1" customHeight="1" s="6">
      <c r="B26" s="31" t="n"/>
      <c r="C26" s="14" t="n"/>
      <c r="D26" s="12" t="n"/>
      <c r="E26" s="17" t="n"/>
      <c r="F26" s="39" t="n"/>
      <c r="G26" s="39" t="n"/>
      <c r="H26" s="39" t="n"/>
      <c r="I26" s="39" t="n"/>
      <c r="J26" s="39" t="n"/>
      <c r="K26" s="39" t="n"/>
      <c r="L26" s="39">
        <f>SUM(F26:K26)</f>
        <v/>
      </c>
    </row>
    <row r="27" ht="20.1" customFormat="1" customHeight="1" s="6">
      <c r="B27" s="31" t="n"/>
      <c r="C27" s="14" t="n"/>
      <c r="D27" s="12" t="n"/>
      <c r="E27" s="17" t="n"/>
      <c r="F27" s="39" t="n"/>
      <c r="G27" s="39" t="n"/>
      <c r="H27" s="39" t="n"/>
      <c r="I27" s="39" t="n"/>
      <c r="J27" s="39" t="n"/>
      <c r="K27" s="39" t="n"/>
      <c r="L27" s="39">
        <f>SUM(F27:K27)</f>
        <v/>
      </c>
    </row>
    <row r="28" ht="20.1" customFormat="1" customHeight="1" s="6">
      <c r="B28" s="31" t="n"/>
      <c r="C28" s="14" t="n"/>
      <c r="D28" s="12" t="n"/>
      <c r="E28" s="17" t="n"/>
      <c r="F28" s="39" t="n"/>
      <c r="G28" s="39" t="n"/>
      <c r="H28" s="39" t="n"/>
      <c r="I28" s="39" t="n"/>
      <c r="J28" s="39" t="n"/>
      <c r="K28" s="39" t="n"/>
      <c r="L28" s="39">
        <f>SUM(F28:K28)</f>
        <v/>
      </c>
    </row>
    <row r="29" ht="20.1" customFormat="1" customHeight="1" s="6">
      <c r="B29" s="31" t="n"/>
      <c r="C29" s="14" t="n"/>
      <c r="D29" s="12" t="n"/>
      <c r="E29" s="17" t="n"/>
      <c r="F29" s="39" t="n"/>
      <c r="G29" s="39" t="n"/>
      <c r="H29" s="39" t="n"/>
      <c r="I29" s="39" t="n"/>
      <c r="J29" s="39" t="n"/>
      <c r="K29" s="39" t="n"/>
      <c r="L29" s="39">
        <f>SUM(F29:K29)</f>
        <v/>
      </c>
    </row>
    <row r="30" ht="20.1" customFormat="1" customHeight="1" s="6">
      <c r="B30" s="31" t="n"/>
      <c r="C30" s="14" t="n"/>
      <c r="D30" s="12" t="n"/>
      <c r="E30" s="17" t="n"/>
      <c r="F30" s="39" t="n"/>
      <c r="G30" s="39" t="n"/>
      <c r="H30" s="39" t="n"/>
      <c r="I30" s="39" t="n"/>
      <c r="J30" s="39" t="n"/>
      <c r="K30" s="39" t="n"/>
      <c r="L30" s="39">
        <f>SUM(F30:K30)</f>
        <v/>
      </c>
    </row>
    <row r="31" ht="20.1" customFormat="1" customHeight="1" s="6">
      <c r="B31" s="31" t="n"/>
      <c r="C31" s="14" t="n"/>
      <c r="D31" s="12" t="n"/>
      <c r="E31" s="17" t="n"/>
      <c r="F31" s="39" t="n"/>
      <c r="G31" s="39" t="n"/>
      <c r="H31" s="39" t="n"/>
      <c r="I31" s="39" t="n"/>
      <c r="J31" s="39" t="n"/>
      <c r="K31" s="39" t="n"/>
      <c r="L31" s="39">
        <f>SUM(F31:K31)</f>
        <v/>
      </c>
    </row>
    <row r="32" ht="20.1" customFormat="1" customHeight="1" s="6">
      <c r="B32" s="31" t="n"/>
      <c r="C32" s="14" t="n"/>
      <c r="D32" s="12" t="n"/>
      <c r="E32" s="17" t="n"/>
      <c r="F32" s="39" t="n"/>
      <c r="G32" s="39" t="n"/>
      <c r="H32" s="39" t="n"/>
      <c r="I32" s="39" t="n"/>
      <c r="J32" s="39" t="n"/>
      <c r="K32" s="39" t="n"/>
      <c r="L32" s="39">
        <f>SUM(F32:K32)</f>
        <v/>
      </c>
    </row>
    <row r="33" hidden="1" ht="20.1" customFormat="1" customHeight="1" s="6">
      <c r="A33" s="15" t="n"/>
      <c r="B33" s="31" t="n"/>
      <c r="C33" s="14" t="n"/>
      <c r="D33" s="12" t="n"/>
      <c r="E33" s="21" t="n"/>
      <c r="F33" s="39" t="n"/>
      <c r="G33" s="39" t="n"/>
      <c r="H33" s="39" t="n"/>
      <c r="I33" s="39" t="n"/>
      <c r="J33" s="39" t="n"/>
      <c r="K33" s="39" t="n"/>
      <c r="L33" s="39">
        <f>SUM(F33:K33)</f>
        <v/>
      </c>
    </row>
    <row r="34" hidden="1" ht="20.1" customFormat="1" customHeight="1" s="6">
      <c r="A34" s="15" t="n"/>
      <c r="B34" s="31" t="n"/>
      <c r="C34" s="32" t="n"/>
      <c r="D34" s="32" t="n"/>
      <c r="E34" s="33" t="n"/>
      <c r="F34" s="39" t="n"/>
      <c r="G34" s="39" t="n"/>
      <c r="H34" s="39" t="n"/>
      <c r="I34" s="39" t="n"/>
      <c r="J34" s="39" t="n"/>
      <c r="K34" s="39" t="n"/>
      <c r="L34" s="39">
        <f>SUM(F34:K34)</f>
        <v/>
      </c>
    </row>
    <row r="35" hidden="1" ht="20.1" customFormat="1" customHeight="1" s="6">
      <c r="A35" s="15" t="n"/>
      <c r="B35" s="31" t="n"/>
      <c r="C35" s="32" t="n"/>
      <c r="D35" s="32" t="n"/>
      <c r="E35" s="33" t="n"/>
      <c r="F35" s="39" t="n"/>
      <c r="G35" s="39" t="n"/>
      <c r="H35" s="39" t="n"/>
      <c r="I35" s="39" t="n"/>
      <c r="J35" s="39" t="n"/>
      <c r="K35" s="39" t="n"/>
      <c r="L35" s="39">
        <f>SUM(F35:K35)</f>
        <v/>
      </c>
    </row>
    <row r="36" hidden="1" ht="20.1" customFormat="1" customHeight="1" s="6">
      <c r="A36" s="15" t="n"/>
      <c r="B36" s="31" t="n"/>
      <c r="C36" s="32" t="n"/>
      <c r="D36" s="32" t="n"/>
      <c r="E36" s="33" t="n"/>
      <c r="F36" s="39" t="n"/>
      <c r="G36" s="39" t="n"/>
      <c r="H36" s="39" t="n"/>
      <c r="I36" s="39" t="n"/>
      <c r="J36" s="39" t="n"/>
      <c r="K36" s="39" t="n"/>
      <c r="L36" s="39">
        <f>SUM(F36:K36)</f>
        <v/>
      </c>
    </row>
    <row r="37" hidden="1" ht="20.1" customFormat="1" customHeight="1" s="6">
      <c r="A37" s="15" t="n"/>
      <c r="B37" s="31" t="n"/>
      <c r="C37" s="32" t="n"/>
      <c r="D37" s="32" t="n"/>
      <c r="E37" s="33" t="n"/>
      <c r="F37" s="39" t="n"/>
      <c r="G37" s="39" t="n"/>
      <c r="H37" s="39" t="n"/>
      <c r="I37" s="39" t="n"/>
      <c r="J37" s="39" t="n"/>
      <c r="K37" s="39" t="n"/>
      <c r="L37" s="39">
        <f>SUM(F37:K37)</f>
        <v/>
      </c>
    </row>
    <row r="38" hidden="1" ht="20.1" customFormat="1" customHeight="1" s="6">
      <c r="A38" s="15" t="n"/>
      <c r="B38" s="31" t="n"/>
      <c r="C38" s="32" t="n"/>
      <c r="D38" s="32" t="n"/>
      <c r="E38" s="33" t="n"/>
      <c r="F38" s="39" t="n"/>
      <c r="G38" s="39" t="n"/>
      <c r="H38" s="39" t="n"/>
      <c r="I38" s="39" t="n"/>
      <c r="J38" s="39" t="n"/>
      <c r="K38" s="39" t="n"/>
      <c r="L38" s="39">
        <f>SUM(DadosDespesas349[[#This Row],[Documento]:[Diversos]])</f>
        <v/>
      </c>
    </row>
    <row r="39" hidden="1" ht="20.1" customFormat="1" customHeight="1" s="6">
      <c r="A39" s="15" t="n"/>
      <c r="B39" s="31" t="n"/>
      <c r="C39" s="32" t="n"/>
      <c r="D39" s="32" t="n"/>
      <c r="E39" s="33" t="n"/>
      <c r="F39" s="39" t="n"/>
      <c r="G39" s="39" t="n"/>
      <c r="H39" s="39" t="n"/>
      <c r="I39" s="39" t="n"/>
      <c r="J39" s="39" t="n"/>
      <c r="K39" s="39" t="n"/>
      <c r="L39" s="39">
        <f>SUM(DadosDespesas349[[#This Row],[Documento]:[Diversos]])</f>
        <v/>
      </c>
    </row>
    <row r="40" hidden="1" ht="20.1" customFormat="1" customHeight="1" s="6">
      <c r="A40" s="15" t="n"/>
      <c r="B40" s="31" t="n"/>
      <c r="C40" s="32" t="n"/>
      <c r="D40" s="32" t="n"/>
      <c r="E40" s="33" t="n"/>
      <c r="F40" s="39" t="n"/>
      <c r="G40" s="39" t="n"/>
      <c r="H40" s="39" t="n"/>
      <c r="I40" s="39" t="n"/>
      <c r="J40" s="39" t="n"/>
      <c r="K40" s="39" t="n"/>
      <c r="L40" s="39">
        <f>SUM(DadosDespesas349[[#This Row],[Documento]:[Diversos]])</f>
        <v/>
      </c>
    </row>
    <row r="41" hidden="1" ht="20.1" customFormat="1" customHeight="1" s="6">
      <c r="A41" s="15" t="n"/>
      <c r="B41" s="31" t="n"/>
      <c r="C41" s="32" t="n"/>
      <c r="D41" s="32" t="n"/>
      <c r="E41" s="33" t="n"/>
      <c r="F41" s="39" t="n"/>
      <c r="G41" s="39" t="n"/>
      <c r="H41" s="39" t="n"/>
      <c r="I41" s="39" t="n"/>
      <c r="J41" s="39" t="n"/>
      <c r="K41" s="39" t="n"/>
      <c r="L41" s="39">
        <f>SUM(DadosDespesas349[[#This Row],[Documento]:[Diversos]])</f>
        <v/>
      </c>
    </row>
    <row r="42" hidden="1" ht="20.1" customFormat="1" customHeight="1" s="6">
      <c r="A42" s="15" t="n"/>
      <c r="B42" s="31" t="n"/>
      <c r="C42" s="32" t="n"/>
      <c r="D42" s="32" t="n"/>
      <c r="E42" s="33" t="n"/>
      <c r="F42" s="39" t="n"/>
      <c r="G42" s="39" t="n"/>
      <c r="H42" s="39" t="n"/>
      <c r="I42" s="39" t="n"/>
      <c r="J42" s="39" t="n"/>
      <c r="K42" s="39" t="n"/>
      <c r="L42" s="39">
        <f>SUM(DadosDespesas349[[#This Row],[Documento]:[Diversos]])</f>
        <v/>
      </c>
    </row>
    <row r="43" hidden="1" ht="20.1" customFormat="1" customHeight="1" s="6">
      <c r="A43" s="15" t="n"/>
      <c r="B43" s="31" t="n"/>
      <c r="C43" s="14" t="n"/>
      <c r="D43" s="12" t="n"/>
      <c r="E43" s="21" t="n"/>
      <c r="F43" s="39" t="n"/>
      <c r="G43" s="39" t="n"/>
      <c r="H43" s="39" t="n"/>
      <c r="I43" s="39" t="n"/>
      <c r="J43" s="39" t="n"/>
      <c r="K43" s="39" t="n"/>
      <c r="L43" s="39">
        <f>SUM(DadosDespesas349[[#This Row],[Documento]:[Diversos]])</f>
        <v/>
      </c>
    </row>
    <row r="44" ht="30" customHeight="1" thickBot="1">
      <c r="B44" s="18" t="inlineStr">
        <is>
          <t>Total</t>
        </is>
      </c>
      <c r="C44" s="18" t="n"/>
      <c r="D44" s="18" t="n"/>
      <c r="E44" s="40">
        <f>SUBTOTAL(109,DadosDespesas349[Documento])</f>
        <v/>
      </c>
      <c r="F44" s="40">
        <f>SUBTOTAL(109,DadosDespesas349[Transporte])</f>
        <v/>
      </c>
      <c r="G44" s="40">
        <f>SUBTOTAL(109,DadosDespesas349[Combustível])</f>
        <v/>
      </c>
      <c r="H44" s="40">
        <f>SUBTOTAL(109,DadosDespesas349[Refeições])</f>
        <v/>
      </c>
      <c r="I44" s="40">
        <f>SUBTOTAL(109,DadosDespesas349[Hospedagem])</f>
        <v/>
      </c>
      <c r="J44" s="40">
        <f>SUBTOTAL(109,DadosDespesas349[Materiais])</f>
        <v/>
      </c>
      <c r="K44" s="40">
        <f>SUBTOTAL(109,DadosDespesas349[Diversos])</f>
        <v/>
      </c>
      <c r="L44" s="40">
        <f>SUBTOTAL(109,DadosDespesas349[Total])</f>
        <v/>
      </c>
    </row>
    <row r="45" ht="30" customHeight="1">
      <c r="C45" s="1" t="n"/>
      <c r="D45" s="1" t="n"/>
      <c r="E45" s="1" t="n"/>
      <c r="F45" s="1" t="n"/>
      <c r="G45" s="1" t="n"/>
      <c r="H45" s="1" t="n"/>
      <c r="I45" s="1" t="n"/>
      <c r="K45" s="10" t="inlineStr">
        <is>
          <t>SUBTOTAL</t>
        </is>
      </c>
      <c r="L45" s="41">
        <f>DadosDespesas349[[#Totals],[Total]]</f>
        <v/>
      </c>
    </row>
    <row r="46" ht="30" customHeight="1" thickBot="1">
      <c r="B46" s="4" t="inlineStr">
        <is>
          <t>Aprovado:</t>
        </is>
      </c>
      <c r="C46" s="37" t="n"/>
      <c r="D46" s="36" t="n"/>
      <c r="E46" s="36" t="n"/>
      <c r="F46" s="11" t="inlineStr">
        <is>
          <t xml:space="preserve">Anotações: </t>
        </is>
      </c>
      <c r="G46" s="35" t="n"/>
      <c r="H46" s="36" t="n"/>
      <c r="I46" s="36" t="n"/>
      <c r="K46" s="10" t="inlineStr">
        <is>
          <t>PAGAMENTOS</t>
        </is>
      </c>
      <c r="L46" s="42" t="n"/>
    </row>
    <row r="47" ht="30" customHeight="1" thickTop="1">
      <c r="C47" s="37" t="n"/>
      <c r="D47" s="36" t="n"/>
      <c r="E47" s="36" t="n"/>
      <c r="F47" s="1" t="n"/>
      <c r="G47" s="37" t="n"/>
      <c r="H47" s="36" t="n"/>
      <c r="I47" s="36" t="n"/>
      <c r="K47" s="10" t="inlineStr">
        <is>
          <t>TOTAL</t>
        </is>
      </c>
      <c r="L47" s="44">
        <f>Subtotal-Adiantamentos</f>
        <v/>
      </c>
    </row>
    <row r="48" ht="15.75" customHeight="1">
      <c r="C48" s="37" t="n"/>
      <c r="D48" s="36" t="n"/>
      <c r="E48" s="36" t="n"/>
      <c r="F48" s="1" t="n"/>
      <c r="G48" s="37" t="n"/>
      <c r="H48" s="36" t="n"/>
      <c r="I48" s="36" t="n"/>
      <c r="K48" s="10" t="n"/>
      <c r="L48" s="43" t="n"/>
    </row>
    <row r="49" ht="15.75" customHeight="1">
      <c r="C49" s="37" t="n"/>
      <c r="D49" s="36" t="n"/>
      <c r="E49" s="36" t="n"/>
      <c r="F49" s="1" t="n"/>
      <c r="G49" s="37" t="n"/>
      <c r="H49" s="36" t="n"/>
      <c r="I49" s="36" t="n"/>
      <c r="K49" s="10" t="n"/>
      <c r="L49" s="43" t="n"/>
    </row>
  </sheetData>
  <mergeCells count="13">
    <mergeCell ref="F3:G3"/>
    <mergeCell ref="G47:I47"/>
    <mergeCell ref="C6:D6"/>
    <mergeCell ref="K4:L4"/>
    <mergeCell ref="G46:I46"/>
    <mergeCell ref="C5:D5"/>
    <mergeCell ref="G5:H5"/>
    <mergeCell ref="K5:L5"/>
    <mergeCell ref="G6:H6"/>
    <mergeCell ref="K6:L6"/>
    <mergeCell ref="C3:D3"/>
    <mergeCell ref="C46:E46"/>
    <mergeCell ref="C47:E47"/>
  </mergeCells>
  <dataValidations count="44">
    <dataValidation sqref="B2" showDropDown="0" showInputMessage="0" showErrorMessage="1" allowBlank="1" prompt="O título Relatório de Despesas está nesta célula"/>
    <dataValidation sqref="A2" showDropDown="0" showInputMessage="1" showErrorMessage="1" allowBlank="1" prompt="Controle as despesas nesta planilha do Relatório de Despesas. Insira valores em várias categorias de despesas nas células B3 a K6 e na tabela Dados de Despesas"/>
    <dataValidation sqref="L1" showDropDown="0" showInputMessage="0" showErrorMessage="1" allowBlank="1" prompt="O relatório é apenas para uso do escritório"/>
    <dataValidation sqref="L3" showDropDown="0" showInputMessage="1" showErrorMessage="1" allowBlank="1" prompt="O período final para este relatório de despesas está nessa célula e é automaticamente determinado pelas entradas na tabela Dados de Despesas"/>
    <dataValidation sqref="F3:G3" showDropDown="0" showInputMessage="1" showErrorMessage="1" allowBlank="1" prompt="Insira o número da declaração para o relatório de despesas nesta célula"/>
    <dataValidation sqref="C3:D3" showDropDown="0" showInputMessage="1" showErrorMessage="1" allowBlank="1" prompt="Insira a finalidade do relatório de despesas nesta célula"/>
    <dataValidation sqref="J5" showDropDown="0" showInputMessage="1" showErrorMessage="1" allowBlank="1" prompt="Insira o CPF na célula à direita"/>
    <dataValidation sqref="J6" showDropDown="0" showInputMessage="1" showErrorMessage="1" allowBlank="1" prompt="Insira a ID do funcionário na célula à direita"/>
    <dataValidation sqref="F6" showDropDown="0" showInputMessage="1" showErrorMessage="1" allowBlank="1" prompt="Insira o nome do gerente na célula à direita"/>
    <dataValidation sqref="F5" showDropDown="0" showInputMessage="1" showErrorMessage="1" allowBlank="1" prompt="Insira o cargo do funcionário na célula à direita"/>
    <dataValidation sqref="B6" showDropDown="0" showInputMessage="1" showErrorMessage="1" allowBlank="1" prompt="Insira o departamento do funcionário na célula à direita"/>
    <dataValidation sqref="B5" showDropDown="0" showInputMessage="1" showErrorMessage="1" allowBlank="1" prompt="Insira o nome do funcionário na célula à direita"/>
    <dataValidation sqref="L47" showDropDown="0" showInputMessage="1" showErrorMessage="1" allowBlank="1" prompt="Total automaticamente calculado"/>
    <dataValidation sqref="L46" showDropDown="0" showInputMessage="1" showErrorMessage="1" allowBlank="1" prompt="Insira os Adiantamentos nesta célula"/>
    <dataValidation sqref="L45" showDropDown="0" showInputMessage="1" showErrorMessage="1" allowBlank="1" prompt="Subtotal calculado automaticamente"/>
    <dataValidation sqref="G46:I47" showDropDown="0" showInputMessage="1" showErrorMessage="1" allowBlank="1" prompt="Inserir Anotações nesta célula"/>
    <dataValidation sqref="F46" showDropDown="0" showInputMessage="1" showErrorMessage="1" allowBlank="1" prompt="Insira Anotações nas células à direita"/>
    <dataValidation sqref="C46:E47" showDropDown="0" showInputMessage="1" showErrorMessage="1" allowBlank="1" prompt="Insira a assinatura nesta célula"/>
    <dataValidation sqref="B46" showDropDown="0" showInputMessage="1" showErrorMessage="1" allowBlank="1" prompt="Insira comentários nas células à direita"/>
    <dataValidation sqref="L8" showDropDown="0" showInputMessage="1" showErrorMessage="1" allowBlank="1" prompt="O total de despesas é automaticamente calculado nesta coluna sob este título para cada data"/>
    <dataValidation sqref="K8" showDropDown="0" showInputMessage="1" showErrorMessage="1" allowBlank="1" prompt="Insira as despesas diversas nesta coluna neste título"/>
    <dataValidation sqref="J8" showDropDown="0" showInputMessage="1" showErrorMessage="1" allowBlank="1" prompt="Insira as despesas de entretenimento na coluna sob este cabeçalho"/>
    <dataValidation sqref="I8" showDropDown="0" showInputMessage="1" showErrorMessage="1" allowBlank="1" prompt="Insira as despesas de telefone na coluna sob este cabeçalho"/>
    <dataValidation sqref="H8" showDropDown="0" showInputMessage="1" showErrorMessage="1" allowBlank="1" prompt="Insira as despesas de refeições na coluna sob este cabeçalho"/>
    <dataValidation sqref="G8" showDropDown="0" showInputMessage="1" showErrorMessage="1" allowBlank="1" prompt="Insira as despesas de combustível na coluna sob este cabeçalho"/>
    <dataValidation sqref="F8" showDropDown="0" showInputMessage="1" showErrorMessage="1" allowBlank="1" prompt="Insira as despesas de transporte na coluna sob este cabeçalho"/>
    <dataValidation sqref="E8" showDropDown="0" showInputMessage="1" showErrorMessage="1" allowBlank="1" prompt="Insira as despesas de hotel na coluna sob este cabeçalho"/>
    <dataValidation sqref="D8" showDropDown="0" showInputMessage="1" showErrorMessage="1" allowBlank="1" prompt="Insira a descrição na coluna sob este cabeçalho"/>
    <dataValidation sqref="C8" showDropDown="0" showInputMessage="1" showErrorMessage="1" allowBlank="1" prompt="Insira a conta na coluna sob este cabeçalho"/>
    <dataValidation sqref="B8" showDropDown="0" showInputMessage="1" showErrorMessage="1" allowBlank="1" prompt="Insira a data nesta coluna sob este título"/>
    <dataValidation sqref="J3" showDropDown="0" showInputMessage="1" showErrorMessage="1" allowBlank="1" prompt="O período inicial para este relatório de despesas está nessa célula e é automaticamente determinado pelas entradas na tabela Dados de Despesas"/>
    <dataValidation sqref="H3" showDropDown="0" showInputMessage="1" showErrorMessage="1" allowBlank="1" prompt="O período de pagamento é atualizado automaticamente com base nas entradas na tabela Dados de Despesas"/>
    <dataValidation sqref="K6:L6" showDropDown="0" showInputMessage="1" showErrorMessage="1" allowBlank="1" prompt="Insira a ID do funcionário nesta célula"/>
    <dataValidation sqref="K4:L5" showDropDown="0" showInputMessage="1" showErrorMessage="1" allowBlank="1" prompt="Insira o CPF nesta célula"/>
    <dataValidation sqref="G6:H6" showDropDown="0" showInputMessage="1" showErrorMessage="1" allowBlank="1" prompt="Insira o nome do gerente nesta célula"/>
    <dataValidation sqref="G5:H5" showDropDown="0" showInputMessage="1" showErrorMessage="1" allowBlank="1" prompt="Insira o cargo do funcionário nesta célula"/>
    <dataValidation sqref="C6:D6" showDropDown="0" showInputMessage="1" showErrorMessage="1" allowBlank="1" prompt="Insira o departamento do funcionário nesta célula"/>
    <dataValidation sqref="C5:D5" showDropDown="0" showInputMessage="1" showErrorMessage="1" allowBlank="1" prompt="Insira o nome do funcionário nesta célula"/>
    <dataValidation sqref="B4" showDropDown="0" showInputMessage="1" showErrorMessage="1" allowBlank="1" prompt="Inserir as informações dos funcionários nas células abaixo"/>
    <dataValidation sqref="E3" showDropDown="0" showInputMessage="1" showErrorMessage="1" allowBlank="1" prompt="Insira o número da declaração na célula à direita."/>
    <dataValidation sqref="B3" showDropDown="0" showInputMessage="1" showErrorMessage="1" allowBlank="1" prompt="Insira a finalidade das despesas na célula à direita"/>
    <dataValidation sqref="B1" showDropDown="0" showInputMessage="1" showErrorMessage="1" allowBlank="1" prompt="O título Relatório de Despesas está nesta célula"/>
    <dataValidation sqref="L2" showDropDown="0" showInputMessage="1" showErrorMessage="1" allowBlank="1" prompt="O relatório é apenas para uso do escritório"/>
    <dataValidation sqref="A1" showDropDown="0" showInputMessage="1" showErrorMessage="1" allowBlank="1" prompt="Controle as despesas nesta planilha do Relatório de Despesas. Insira valores em várias categorias de despesas nas células B3 a K6 e na tabela Dados de Despesas."/>
  </dataValidations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 fitToHeight="0" blackAndWhite="1" horizontalDpi="300" verticalDpi="300"/>
  <headerFooter differentFirst="1">
    <oddHeader/>
    <oddFooter>&amp;L&amp;C&amp;R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2018-08-23T13:32:45Z</dcterms:created>
  <dcterms:modified xsi:type="dcterms:W3CDTF">2026-10-09T22:32:52Z</dcterms:modified>
  <cp:lastModifiedBy>Rafael Souza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0x010100DEEA25CC0A0AC24199CDC46C25B8B0BC</vt:lpwstr>
  </property>
</Properties>
</file>